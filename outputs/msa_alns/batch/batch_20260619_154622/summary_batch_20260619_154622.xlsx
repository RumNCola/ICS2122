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araf\OneDrive\Desktop\2026\ICS2122\outputs\msa_alns\batch\batch_20260619_154622\"/>
    </mc:Choice>
  </mc:AlternateContent>
  <xr:revisionPtr revIDLastSave="0" documentId="13_ncr:1_{DBEE9714-E801-487F-93D4-402C97E8EE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uns_detail" sheetId="1" r:id="rId1"/>
    <sheet name="summary_by_config" sheetId="2" r:id="rId2"/>
    <sheet name="summary_by_instance" sheetId="3" r:id="rId3"/>
    <sheet name="summary_overall" sheetId="4" r:id="rId4"/>
    <sheet name="planned_experiments" sheetId="5" r:id="rId5"/>
    <sheet name="error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D9" i="1"/>
  <c r="D8" i="1"/>
  <c r="E8" i="1"/>
</calcChain>
</file>

<file path=xl/sharedStrings.xml><?xml version="1.0" encoding="utf-8"?>
<sst xmlns="http://schemas.openxmlformats.org/spreadsheetml/2006/main" count="484" uniqueCount="186">
  <si>
    <t>status</t>
  </si>
  <si>
    <t>start_timestamp</t>
  </si>
  <si>
    <t>end_timestamp</t>
  </si>
  <si>
    <t>elapsed_total_sec</t>
  </si>
  <si>
    <t>elapsed_total_min</t>
  </si>
  <si>
    <t>instancia</t>
  </si>
  <si>
    <t>replica_id</t>
  </si>
  <si>
    <t>n_scenarios</t>
  </si>
  <si>
    <t>lookahead_min</t>
  </si>
  <si>
    <t>scenario_time_limit_sec</t>
  </si>
  <si>
    <t>parallel_backend</t>
  </si>
  <si>
    <t>parallel_max_workers</t>
  </si>
  <si>
    <t>parallel_cpu_reserve</t>
  </si>
  <si>
    <t>parallel_log_progress</t>
  </si>
  <si>
    <t>alns_max_iterations</t>
  </si>
  <si>
    <t>dynamic_insertion_n_scenarios</t>
  </si>
  <si>
    <t>run_msa_on_request_arrival_if_vehicle_waiting</t>
  </si>
  <si>
    <t>seed</t>
  </si>
  <si>
    <t>served_customers</t>
  </si>
  <si>
    <t>outsourced_customers</t>
  </si>
  <si>
    <t>total_customers</t>
  </si>
  <si>
    <t>total_profit</t>
  </si>
  <si>
    <t>total_possible_profit</t>
  </si>
  <si>
    <t>profit_rate</t>
  </si>
  <si>
    <t>total_distance_km</t>
  </si>
  <si>
    <t>nb_trips</t>
  </si>
  <si>
    <t>dynamic_pickups_inserted</t>
  </si>
  <si>
    <t>dynamic_pickups_postponed</t>
  </si>
  <si>
    <t>dynamic_pickups_undecided</t>
  </si>
  <si>
    <t>solver</t>
  </si>
  <si>
    <t>consensus_mode</t>
  </si>
  <si>
    <t>parallel_workers</t>
  </si>
  <si>
    <t>msa_calls</t>
  </si>
  <si>
    <t>msa_scenarios_completed</t>
  </si>
  <si>
    <t>msa_total_wall_time_sec</t>
  </si>
  <si>
    <t>msa_avg_wall_time_sec</t>
  </si>
  <si>
    <t>msa_max_wall_time_sec</t>
  </si>
  <si>
    <t>parallel_worker_errors</t>
  </si>
  <si>
    <t>parallel_fallback_tasks</t>
  </si>
  <si>
    <t>service_rate</t>
  </si>
  <si>
    <t>run_id</t>
  </si>
  <si>
    <t>ok</t>
  </si>
  <si>
    <t>2026-06-19T15:46:23</t>
  </si>
  <si>
    <t>2026-06-19T15:57:26</t>
  </si>
  <si>
    <t>process</t>
  </si>
  <si>
    <t>MSA+ALNS+ICD-dynamic-pickups</t>
  </si>
  <si>
    <t>van_hentenryck</t>
  </si>
  <si>
    <t>2026-06-19T15:57:27</t>
  </si>
  <si>
    <t>2026-06-19T16:06:31</t>
  </si>
  <si>
    <t>2026-06-19T16:06:32</t>
  </si>
  <si>
    <t>2026-06-19T16:14:20</t>
  </si>
  <si>
    <t>2026-06-19T16:14:22</t>
  </si>
  <si>
    <t>2026-06-19T16:22:32</t>
  </si>
  <si>
    <t>2026-06-19T16:22:34</t>
  </si>
  <si>
    <t>2026-06-19T16:30:51</t>
  </si>
  <si>
    <t>2026-06-19T16:30:54</t>
  </si>
  <si>
    <t>2026-06-19T16:39:52</t>
  </si>
  <si>
    <t>served_customers_count</t>
  </si>
  <si>
    <t>served_customers_mean</t>
  </si>
  <si>
    <t>served_customers_std</t>
  </si>
  <si>
    <t>served_customers_min</t>
  </si>
  <si>
    <t>served_customers_max</t>
  </si>
  <si>
    <t>outsourced_customers_count</t>
  </si>
  <si>
    <t>outsourced_customers_mean</t>
  </si>
  <si>
    <t>outsourced_customers_std</t>
  </si>
  <si>
    <t>outsourced_customers_min</t>
  </si>
  <si>
    <t>outsourced_customers_max</t>
  </si>
  <si>
    <t>total_customers_count</t>
  </si>
  <si>
    <t>total_customers_mean</t>
  </si>
  <si>
    <t>total_customers_std</t>
  </si>
  <si>
    <t>total_customers_min</t>
  </si>
  <si>
    <t>total_customers_max</t>
  </si>
  <si>
    <t>service_rate_count</t>
  </si>
  <si>
    <t>service_rate_mean</t>
  </si>
  <si>
    <t>service_rate_std</t>
  </si>
  <si>
    <t>service_rate_min</t>
  </si>
  <si>
    <t>service_rate_max</t>
  </si>
  <si>
    <t>total_profit_count</t>
  </si>
  <si>
    <t>total_profit_mean</t>
  </si>
  <si>
    <t>total_profit_std</t>
  </si>
  <si>
    <t>total_profit_min</t>
  </si>
  <si>
    <t>total_profit_max</t>
  </si>
  <si>
    <t>total_possible_profit_count</t>
  </si>
  <si>
    <t>total_possible_profit_mean</t>
  </si>
  <si>
    <t>total_possible_profit_std</t>
  </si>
  <si>
    <t>total_possible_profit_min</t>
  </si>
  <si>
    <t>total_possible_profit_max</t>
  </si>
  <si>
    <t>profit_rate_count</t>
  </si>
  <si>
    <t>profit_rate_mean</t>
  </si>
  <si>
    <t>profit_rate_std</t>
  </si>
  <si>
    <t>profit_rate_min</t>
  </si>
  <si>
    <t>profit_rate_max</t>
  </si>
  <si>
    <t>total_distance_km_count</t>
  </si>
  <si>
    <t>total_distance_km_mean</t>
  </si>
  <si>
    <t>total_distance_km_std</t>
  </si>
  <si>
    <t>total_distance_km_min</t>
  </si>
  <si>
    <t>total_distance_km_max</t>
  </si>
  <si>
    <t>nb_trips_count</t>
  </si>
  <si>
    <t>nb_trips_mean</t>
  </si>
  <si>
    <t>nb_trips_std</t>
  </si>
  <si>
    <t>nb_trips_min</t>
  </si>
  <si>
    <t>nb_trips_max</t>
  </si>
  <si>
    <t>dynamic_pickups_inserted_count</t>
  </si>
  <si>
    <t>dynamic_pickups_inserted_mean</t>
  </si>
  <si>
    <t>dynamic_pickups_inserted_std</t>
  </si>
  <si>
    <t>dynamic_pickups_inserted_min</t>
  </si>
  <si>
    <t>dynamic_pickups_inserted_max</t>
  </si>
  <si>
    <t>dynamic_pickups_postponed_count</t>
  </si>
  <si>
    <t>dynamic_pickups_postponed_mean</t>
  </si>
  <si>
    <t>dynamic_pickups_postponed_std</t>
  </si>
  <si>
    <t>dynamic_pickups_postponed_min</t>
  </si>
  <si>
    <t>dynamic_pickups_postponed_max</t>
  </si>
  <si>
    <t>dynamic_pickups_undecided_count</t>
  </si>
  <si>
    <t>dynamic_pickups_undecided_mean</t>
  </si>
  <si>
    <t>dynamic_pickups_undecided_std</t>
  </si>
  <si>
    <t>dynamic_pickups_undecided_min</t>
  </si>
  <si>
    <t>dynamic_pickups_undecided_max</t>
  </si>
  <si>
    <t>msa_calls_count</t>
  </si>
  <si>
    <t>msa_calls_mean</t>
  </si>
  <si>
    <t>msa_calls_std</t>
  </si>
  <si>
    <t>msa_calls_min</t>
  </si>
  <si>
    <t>msa_calls_max</t>
  </si>
  <si>
    <t>msa_scenarios_completed_count</t>
  </si>
  <si>
    <t>msa_scenarios_completed_mean</t>
  </si>
  <si>
    <t>msa_scenarios_completed_std</t>
  </si>
  <si>
    <t>msa_scenarios_completed_min</t>
  </si>
  <si>
    <t>msa_scenarios_completed_max</t>
  </si>
  <si>
    <t>msa_total_wall_time_sec_count</t>
  </si>
  <si>
    <t>msa_total_wall_time_sec_mean</t>
  </si>
  <si>
    <t>msa_total_wall_time_sec_std</t>
  </si>
  <si>
    <t>msa_total_wall_time_sec_min</t>
  </si>
  <si>
    <t>msa_total_wall_time_sec_max</t>
  </si>
  <si>
    <t>msa_avg_wall_time_sec_count</t>
  </si>
  <si>
    <t>msa_avg_wall_time_sec_mean</t>
  </si>
  <si>
    <t>msa_avg_wall_time_sec_std</t>
  </si>
  <si>
    <t>msa_avg_wall_time_sec_min</t>
  </si>
  <si>
    <t>msa_avg_wall_time_sec_max</t>
  </si>
  <si>
    <t>msa_max_wall_time_sec_count</t>
  </si>
  <si>
    <t>msa_max_wall_time_sec_mean</t>
  </si>
  <si>
    <t>msa_max_wall_time_sec_std</t>
  </si>
  <si>
    <t>msa_max_wall_time_sec_min</t>
  </si>
  <si>
    <t>msa_max_wall_time_sec_max</t>
  </si>
  <si>
    <t>parallel_worker_errors_count</t>
  </si>
  <si>
    <t>parallel_worker_errors_mean</t>
  </si>
  <si>
    <t>parallel_worker_errors_std</t>
  </si>
  <si>
    <t>parallel_worker_errors_min</t>
  </si>
  <si>
    <t>parallel_worker_errors_max</t>
  </si>
  <si>
    <t>parallel_fallback_tasks_count</t>
  </si>
  <si>
    <t>parallel_fallback_tasks_mean</t>
  </si>
  <si>
    <t>parallel_fallback_tasks_std</t>
  </si>
  <si>
    <t>parallel_fallback_tasks_min</t>
  </si>
  <si>
    <t>parallel_fallback_tasks_max</t>
  </si>
  <si>
    <t>elapsed_total_sec_count</t>
  </si>
  <si>
    <t>elapsed_total_sec_mean</t>
  </si>
  <si>
    <t>elapsed_total_sec_std</t>
  </si>
  <si>
    <t>elapsed_total_sec_min</t>
  </si>
  <si>
    <t>elapsed_total_sec_max</t>
  </si>
  <si>
    <t>elapsed_total_min_count</t>
  </si>
  <si>
    <t>elapsed_total_min_mean</t>
  </si>
  <si>
    <t>elapsed_total_min_std</t>
  </si>
  <si>
    <t>elapsed_total_min_min</t>
  </si>
  <si>
    <t>elapsed_total_min_max</t>
  </si>
  <si>
    <t>served_customers_se</t>
  </si>
  <si>
    <t>outsourced_customers_se</t>
  </si>
  <si>
    <t>total_customers_se</t>
  </si>
  <si>
    <t>service_rate_se</t>
  </si>
  <si>
    <t>total_profit_se</t>
  </si>
  <si>
    <t>total_possible_profit_se</t>
  </si>
  <si>
    <t>profit_rate_se</t>
  </si>
  <si>
    <t>total_distance_km_se</t>
  </si>
  <si>
    <t>nb_trips_se</t>
  </si>
  <si>
    <t>dynamic_pickups_inserted_se</t>
  </si>
  <si>
    <t>dynamic_pickups_postponed_se</t>
  </si>
  <si>
    <t>dynamic_pickups_undecided_se</t>
  </si>
  <si>
    <t>msa_calls_se</t>
  </si>
  <si>
    <t>msa_scenarios_completed_se</t>
  </si>
  <si>
    <t>msa_total_wall_time_sec_se</t>
  </si>
  <si>
    <t>msa_avg_wall_time_sec_se</t>
  </si>
  <si>
    <t>msa_max_wall_time_sec_se</t>
  </si>
  <si>
    <t>parallel_worker_errors_se</t>
  </si>
  <si>
    <t>parallel_fallback_tasks_se</t>
  </si>
  <si>
    <t>elapsed_total_sec_se</t>
  </si>
  <si>
    <t>elapsed_total_min_se</t>
  </si>
  <si>
    <t>_all</t>
  </si>
  <si>
    <t>all</t>
  </si>
  <si>
    <t>Debee tener como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</si>
</sst>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B77FBA-EF3C-4185-AB59-2F3E8C04BE26}" name="Tabla1" displayName="Tabla1" ref="A1:AO8" totalsRowCount="1">
  <autoFilter ref="A1:AO7" xr:uid="{2FB77FBA-EF3C-4185-AB59-2F3E8C04BE26}"/>
  <tableColumns count="41">
    <tableColumn id="1" xr3:uid="{A8716EBD-1FDA-44C3-A429-27172D0EF0B7}" name="status"/>
    <tableColumn id="2" xr3:uid="{3198D581-3D30-4780-8A3A-D3D45F1414FA}" name="start_timestamp"/>
    <tableColumn id="3" xr3:uid="{A22D2FC9-AE3B-4365-A712-111F39DB8B35}" name="end_timestamp"/>
    <tableColumn id="4" xr3:uid="{4C2D4FCF-22FF-410E-A21A-A3D10FC1D9DC}" name="elapsed_total_sec" totalsRowFunction="custom">
      <totalsRowFormula>AVERAGE(Tabla1[elapsed_total_sec])</totalsRowFormula>
    </tableColumn>
    <tableColumn id="5" xr3:uid="{9101B9EF-83F0-473B-B42B-8E5448D756F1}" name="elapsed_total_min" totalsRowFunction="custom">
      <totalsRowFormula>AVERAGE(Tabla1[elapsed_total_min])</totalsRowFormula>
    </tableColumn>
    <tableColumn id="6" xr3:uid="{845D5F4C-3392-4442-A201-C23A90260549}" name="instancia"/>
    <tableColumn id="7" xr3:uid="{2A403DB2-3122-4E8B-BA1F-1B492A2BC12F}" name="replica_id"/>
    <tableColumn id="8" xr3:uid="{A8FA9F86-08DD-4DAC-AD38-E1C6870FB759}" name="n_scenarios"/>
    <tableColumn id="9" xr3:uid="{F62434AB-7664-4355-B4FD-617316463C26}" name="lookahead_min"/>
    <tableColumn id="10" xr3:uid="{98654D00-11F7-4A4A-BE8F-758B37003019}" name="scenario_time_limit_sec"/>
    <tableColumn id="11" xr3:uid="{29DAFB9A-7199-4B7E-889B-3DF84163B351}" name="parallel_backend"/>
    <tableColumn id="12" xr3:uid="{F7EDC498-A3D9-4C28-9195-D99268456C01}" name="parallel_max_workers"/>
    <tableColumn id="13" xr3:uid="{611C9006-CA0F-40F7-9559-FFA1F249634F}" name="parallel_cpu_reserve"/>
    <tableColumn id="14" xr3:uid="{93024FDF-F7E2-466B-97E0-834E93D047EE}" name="parallel_log_progress"/>
    <tableColumn id="15" xr3:uid="{B37C1FFB-4CF2-4E26-9F4A-7EAB4ADA8EB4}" name="alns_max_iterations"/>
    <tableColumn id="16" xr3:uid="{C22E19CA-F647-49F9-9323-9A8D1662B9FD}" name="dynamic_insertion_n_scenarios"/>
    <tableColumn id="17" xr3:uid="{6768FC9E-2470-4A62-80CF-EE34B1CAA0C0}" name="run_msa_on_request_arrival_if_vehicle_waiting"/>
    <tableColumn id="18" xr3:uid="{B162562B-6B8E-4DFB-87CE-565C5F98F4B8}" name="seed"/>
    <tableColumn id="19" xr3:uid="{C149ED44-92CF-4714-A206-6B0E1C0FF6E5}" name="served_customers"/>
    <tableColumn id="20" xr3:uid="{CF96C31A-4DB9-4177-B20D-C8DC0CCBE0AF}" name="outsourced_customers"/>
    <tableColumn id="21" xr3:uid="{6A6182A2-72DC-4EAD-B7B7-6CF928BEF478}" name="total_customers"/>
    <tableColumn id="22" xr3:uid="{6B4AD950-478E-4073-944C-8F6713B45FF6}" name="total_profit"/>
    <tableColumn id="23" xr3:uid="{CD2505A6-B103-4FBA-B020-D684FC687245}" name="total_possible_profit"/>
    <tableColumn id="24" xr3:uid="{B6AFD480-57D4-44E2-AC50-0BC3B3C70404}" name="profit_rate"/>
    <tableColumn id="25" xr3:uid="{593D8DED-6CA2-4C1E-9861-08F23FD494EC}" name="total_distance_km"/>
    <tableColumn id="26" xr3:uid="{1F1DE079-6ABA-4A80-8EB2-D362AAA2F812}" name="nb_trips"/>
    <tableColumn id="27" xr3:uid="{CDE2E90E-5C95-4424-8645-92C9271B85B5}" name="dynamic_pickups_inserted"/>
    <tableColumn id="28" xr3:uid="{99BA2C3A-ECEA-4951-89B3-4CBBFAF5C0E8}" name="dynamic_pickups_postponed"/>
    <tableColumn id="29" xr3:uid="{B8A6ABE0-1717-4154-A6BC-411684C58C9D}" name="dynamic_pickups_undecided"/>
    <tableColumn id="30" xr3:uid="{DDF441CB-C549-4F1C-BC32-26A66A4B8451}" name="solver"/>
    <tableColumn id="31" xr3:uid="{BAD39DBC-652A-4625-A0F4-2E2FEBDCC4DE}" name="consensus_mode"/>
    <tableColumn id="32" xr3:uid="{FCAB0692-97D4-4726-9037-1832625C8788}" name="parallel_workers"/>
    <tableColumn id="33" xr3:uid="{CC33DAD1-6924-4149-BEE1-EC1B14181DDE}" name="msa_calls"/>
    <tableColumn id="34" xr3:uid="{9B1228E1-DA2E-4548-A369-392280864916}" name="msa_scenarios_completed"/>
    <tableColumn id="35" xr3:uid="{E36CC0D1-CC7C-483C-B8D7-4E32D632C4A9}" name="msa_total_wall_time_sec"/>
    <tableColumn id="36" xr3:uid="{95FC7C73-889C-41F6-B3FE-FC84622EC279}" name="msa_avg_wall_time_sec"/>
    <tableColumn id="37" xr3:uid="{03CAD801-904A-4618-A5EF-6F73142C9757}" name="msa_max_wall_time_sec"/>
    <tableColumn id="38" xr3:uid="{2EC3D104-5703-4903-88A1-AD3392B8BBBE}" name="parallel_worker_errors"/>
    <tableColumn id="39" xr3:uid="{F985931D-BAF0-463D-BC16-E1B4997A2351}" name="parallel_fallback_tasks"/>
    <tableColumn id="40" xr3:uid="{2830D876-7CEC-4F16-8D83-CF8AE647BAF6}" name="service_rate"/>
    <tableColumn id="41" xr3:uid="{6DF75694-8B8C-4B5A-8073-6429A792C073}" name="run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"/>
  <sheetViews>
    <sheetView tabSelected="1" zoomScale="60" workbookViewId="0">
      <selection activeCell="AA17" sqref="AA17"/>
    </sheetView>
  </sheetViews>
  <sheetFormatPr baseColWidth="10" defaultColWidth="8.88671875" defaultRowHeight="14.4" x14ac:dyDescent="0.3"/>
  <cols>
    <col min="2" max="2" width="16.33203125" customWidth="1"/>
    <col min="3" max="3" width="15.5546875" customWidth="1"/>
    <col min="4" max="4" width="17.6640625" customWidth="1"/>
    <col min="5" max="5" width="18" customWidth="1"/>
    <col min="6" max="6" width="10.109375" customWidth="1"/>
    <col min="7" max="7" width="10.77734375" customWidth="1"/>
    <col min="8" max="8" width="12.5546875" customWidth="1"/>
    <col min="9" max="9" width="15.44140625" customWidth="1"/>
    <col min="10" max="10" width="22.6640625" customWidth="1"/>
    <col min="11" max="11" width="16.6640625" customWidth="1"/>
    <col min="12" max="12" width="20.88671875" customWidth="1"/>
    <col min="13" max="13" width="19.77734375" customWidth="1"/>
    <col min="14" max="14" width="20.21875" customWidth="1"/>
    <col min="15" max="15" width="19.33203125" customWidth="1"/>
    <col min="16" max="16" width="28.44140625" customWidth="1"/>
    <col min="17" max="17" width="41.88671875" customWidth="1"/>
    <col min="19" max="19" width="17.6640625" customWidth="1"/>
    <col min="20" max="20" width="21.5546875" customWidth="1"/>
    <col min="21" max="21" width="16.21875" customWidth="1"/>
    <col min="22" max="22" width="12.33203125" customWidth="1"/>
    <col min="23" max="23" width="19.88671875" customWidth="1"/>
    <col min="24" max="24" width="11.77734375" customWidth="1"/>
    <col min="25" max="25" width="18" customWidth="1"/>
    <col min="26" max="26" width="9.44140625" customWidth="1"/>
    <col min="27" max="27" width="24.21875" customWidth="1"/>
    <col min="28" max="28" width="26.33203125" customWidth="1"/>
    <col min="29" max="29" width="26" customWidth="1"/>
    <col min="31" max="31" width="16.88671875" customWidth="1"/>
    <col min="32" max="32" width="16.44140625" customWidth="1"/>
    <col min="33" max="33" width="10.77734375" customWidth="1"/>
    <col min="34" max="34" width="24.5546875" customWidth="1"/>
    <col min="35" max="35" width="23.77734375" customWidth="1"/>
    <col min="36" max="36" width="22.6640625" customWidth="1"/>
    <col min="37" max="37" width="23.33203125" customWidth="1"/>
    <col min="38" max="38" width="21.5546875" customWidth="1"/>
    <col min="39" max="39" width="21.33203125" customWidth="1"/>
    <col min="40" max="40" width="12.8867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>
        <v>663.57064549997449</v>
      </c>
      <c r="E2">
        <v>11.059510758332911</v>
      </c>
      <c r="F2">
        <v>1</v>
      </c>
      <c r="G2">
        <v>1</v>
      </c>
      <c r="H2">
        <v>15</v>
      </c>
      <c r="I2">
        <v>120</v>
      </c>
      <c r="J2">
        <v>60</v>
      </c>
      <c r="K2" t="s">
        <v>44</v>
      </c>
      <c r="L2">
        <v>20</v>
      </c>
      <c r="M2">
        <v>1</v>
      </c>
      <c r="N2" t="b">
        <v>0</v>
      </c>
      <c r="O2">
        <v>20000</v>
      </c>
      <c r="P2">
        <v>5</v>
      </c>
      <c r="Q2" t="b">
        <v>1</v>
      </c>
      <c r="R2">
        <v>42</v>
      </c>
      <c r="S2">
        <v>98</v>
      </c>
      <c r="T2">
        <v>84</v>
      </c>
      <c r="U2">
        <v>182</v>
      </c>
      <c r="V2">
        <v>151</v>
      </c>
      <c r="W2">
        <v>316</v>
      </c>
      <c r="X2">
        <v>0.47784810126582278</v>
      </c>
      <c r="Y2">
        <v>445.7473617787723</v>
      </c>
      <c r="Z2">
        <v>8</v>
      </c>
      <c r="AA2">
        <v>43</v>
      </c>
      <c r="AB2">
        <v>2</v>
      </c>
      <c r="AC2">
        <v>0</v>
      </c>
      <c r="AD2" t="s">
        <v>45</v>
      </c>
      <c r="AE2" t="s">
        <v>46</v>
      </c>
      <c r="AF2">
        <v>15</v>
      </c>
      <c r="AG2">
        <v>12</v>
      </c>
      <c r="AH2">
        <v>180</v>
      </c>
      <c r="AI2">
        <v>634.75446110009216</v>
      </c>
      <c r="AJ2">
        <v>52.896205091674346</v>
      </c>
      <c r="AK2">
        <v>62.468158500036218</v>
      </c>
      <c r="AL2">
        <v>0</v>
      </c>
      <c r="AM2">
        <v>0</v>
      </c>
      <c r="AN2">
        <v>0.53846153846153844</v>
      </c>
      <c r="AO2">
        <v>1</v>
      </c>
    </row>
    <row r="3" spans="1:41" x14ac:dyDescent="0.3">
      <c r="A3" t="s">
        <v>41</v>
      </c>
      <c r="B3" t="s">
        <v>47</v>
      </c>
      <c r="C3" t="s">
        <v>48</v>
      </c>
      <c r="D3">
        <v>543.90786219993606</v>
      </c>
      <c r="E3">
        <v>9.0651310366656013</v>
      </c>
      <c r="F3">
        <v>1</v>
      </c>
      <c r="G3">
        <v>19</v>
      </c>
      <c r="H3">
        <v>15</v>
      </c>
      <c r="I3">
        <v>120</v>
      </c>
      <c r="J3">
        <v>60</v>
      </c>
      <c r="K3" t="s">
        <v>44</v>
      </c>
      <c r="L3">
        <v>20</v>
      </c>
      <c r="M3">
        <v>1</v>
      </c>
      <c r="N3" t="b">
        <v>0</v>
      </c>
      <c r="O3">
        <v>20000</v>
      </c>
      <c r="P3">
        <v>5</v>
      </c>
      <c r="Q3" t="b">
        <v>1</v>
      </c>
      <c r="R3">
        <v>42</v>
      </c>
      <c r="S3">
        <v>100</v>
      </c>
      <c r="T3">
        <v>101</v>
      </c>
      <c r="U3">
        <v>201</v>
      </c>
      <c r="V3">
        <v>147</v>
      </c>
      <c r="W3">
        <v>340</v>
      </c>
      <c r="X3">
        <v>0.43235294117647061</v>
      </c>
      <c r="Y3">
        <v>451.77979601581683</v>
      </c>
      <c r="Z3">
        <v>7</v>
      </c>
      <c r="AA3">
        <v>52</v>
      </c>
      <c r="AB3">
        <v>3</v>
      </c>
      <c r="AC3">
        <v>4</v>
      </c>
      <c r="AD3" t="s">
        <v>45</v>
      </c>
      <c r="AE3" t="s">
        <v>46</v>
      </c>
      <c r="AF3">
        <v>15</v>
      </c>
      <c r="AG3">
        <v>9</v>
      </c>
      <c r="AH3">
        <v>135</v>
      </c>
      <c r="AI3">
        <v>505.07538690022187</v>
      </c>
      <c r="AJ3">
        <v>56.119487433357989</v>
      </c>
      <c r="AK3">
        <v>62.517125299898908</v>
      </c>
      <c r="AL3">
        <v>0</v>
      </c>
      <c r="AM3">
        <v>0</v>
      </c>
      <c r="AN3">
        <v>0.49751243781094528</v>
      </c>
      <c r="AO3">
        <v>2</v>
      </c>
    </row>
    <row r="4" spans="1:41" x14ac:dyDescent="0.3">
      <c r="A4" t="s">
        <v>41</v>
      </c>
      <c r="B4" t="s">
        <v>49</v>
      </c>
      <c r="C4" t="s">
        <v>50</v>
      </c>
      <c r="D4">
        <v>468.56471930001862</v>
      </c>
      <c r="E4">
        <v>7.8094119883336441</v>
      </c>
      <c r="F4">
        <v>1</v>
      </c>
      <c r="G4">
        <v>37</v>
      </c>
      <c r="H4">
        <v>15</v>
      </c>
      <c r="I4">
        <v>120</v>
      </c>
      <c r="J4">
        <v>60</v>
      </c>
      <c r="K4" t="s">
        <v>44</v>
      </c>
      <c r="L4">
        <v>20</v>
      </c>
      <c r="M4">
        <v>1</v>
      </c>
      <c r="N4" t="b">
        <v>0</v>
      </c>
      <c r="O4">
        <v>20000</v>
      </c>
      <c r="P4">
        <v>5</v>
      </c>
      <c r="Q4" t="b">
        <v>1</v>
      </c>
      <c r="R4">
        <v>42</v>
      </c>
      <c r="S4">
        <v>104</v>
      </c>
      <c r="T4">
        <v>111</v>
      </c>
      <c r="U4">
        <v>215</v>
      </c>
      <c r="V4">
        <v>134</v>
      </c>
      <c r="W4">
        <v>346</v>
      </c>
      <c r="X4">
        <v>0.38728323699421963</v>
      </c>
      <c r="Y4">
        <v>454.46364730441621</v>
      </c>
      <c r="Z4">
        <v>6</v>
      </c>
      <c r="AA4">
        <v>70</v>
      </c>
      <c r="AB4">
        <v>7</v>
      </c>
      <c r="AC4">
        <v>3</v>
      </c>
      <c r="AD4" t="s">
        <v>45</v>
      </c>
      <c r="AE4" t="s">
        <v>46</v>
      </c>
      <c r="AF4">
        <v>15</v>
      </c>
      <c r="AG4">
        <v>8</v>
      </c>
      <c r="AH4">
        <v>120</v>
      </c>
      <c r="AI4">
        <v>413.30606110021472</v>
      </c>
      <c r="AJ4">
        <v>51.66325763752684</v>
      </c>
      <c r="AK4">
        <v>64.378322700038552</v>
      </c>
      <c r="AL4">
        <v>0</v>
      </c>
      <c r="AM4">
        <v>0</v>
      </c>
      <c r="AN4">
        <v>0.48372093023255808</v>
      </c>
      <c r="AO4">
        <v>3</v>
      </c>
    </row>
    <row r="5" spans="1:41" x14ac:dyDescent="0.3">
      <c r="A5" t="s">
        <v>41</v>
      </c>
      <c r="B5" t="s">
        <v>51</v>
      </c>
      <c r="C5" t="s">
        <v>52</v>
      </c>
      <c r="D5">
        <v>489.69764850009233</v>
      </c>
      <c r="E5">
        <v>8.1616274750015396</v>
      </c>
      <c r="F5">
        <v>1</v>
      </c>
      <c r="G5">
        <v>55</v>
      </c>
      <c r="H5">
        <v>15</v>
      </c>
      <c r="I5">
        <v>120</v>
      </c>
      <c r="J5">
        <v>60</v>
      </c>
      <c r="K5" t="s">
        <v>44</v>
      </c>
      <c r="L5">
        <v>20</v>
      </c>
      <c r="M5">
        <v>1</v>
      </c>
      <c r="N5" t="b">
        <v>0</v>
      </c>
      <c r="O5">
        <v>20000</v>
      </c>
      <c r="P5">
        <v>5</v>
      </c>
      <c r="Q5" t="b">
        <v>1</v>
      </c>
      <c r="R5">
        <v>42</v>
      </c>
      <c r="S5">
        <v>97</v>
      </c>
      <c r="T5">
        <v>119</v>
      </c>
      <c r="U5">
        <v>216</v>
      </c>
      <c r="V5">
        <v>131</v>
      </c>
      <c r="W5">
        <v>339</v>
      </c>
      <c r="X5">
        <v>0.3864306784660767</v>
      </c>
      <c r="Y5">
        <v>459.4233128800326</v>
      </c>
      <c r="Z5">
        <v>6</v>
      </c>
      <c r="AA5">
        <v>60</v>
      </c>
      <c r="AB5">
        <v>26</v>
      </c>
      <c r="AC5">
        <v>4</v>
      </c>
      <c r="AD5" t="s">
        <v>45</v>
      </c>
      <c r="AE5" t="s">
        <v>46</v>
      </c>
      <c r="AF5">
        <v>15</v>
      </c>
      <c r="AG5">
        <v>9</v>
      </c>
      <c r="AH5">
        <v>135</v>
      </c>
      <c r="AI5">
        <v>429.93714229995379</v>
      </c>
      <c r="AJ5">
        <v>47.770793588883762</v>
      </c>
      <c r="AK5">
        <v>62.270178499864407</v>
      </c>
      <c r="AL5">
        <v>0</v>
      </c>
      <c r="AM5">
        <v>0</v>
      </c>
      <c r="AN5">
        <v>0.44907407407407413</v>
      </c>
      <c r="AO5">
        <v>4</v>
      </c>
    </row>
    <row r="6" spans="1:41" x14ac:dyDescent="0.3">
      <c r="A6" t="s">
        <v>41</v>
      </c>
      <c r="B6" t="s">
        <v>53</v>
      </c>
      <c r="C6" t="s">
        <v>54</v>
      </c>
      <c r="D6">
        <v>497.76425100001512</v>
      </c>
      <c r="E6">
        <v>8.2960708500002518</v>
      </c>
      <c r="F6">
        <v>1</v>
      </c>
      <c r="G6">
        <v>73</v>
      </c>
      <c r="H6">
        <v>15</v>
      </c>
      <c r="I6">
        <v>120</v>
      </c>
      <c r="J6">
        <v>60</v>
      </c>
      <c r="K6" t="s">
        <v>44</v>
      </c>
      <c r="L6">
        <v>20</v>
      </c>
      <c r="M6">
        <v>1</v>
      </c>
      <c r="N6" t="b">
        <v>0</v>
      </c>
      <c r="O6">
        <v>20000</v>
      </c>
      <c r="P6">
        <v>5</v>
      </c>
      <c r="Q6" t="b">
        <v>1</v>
      </c>
      <c r="R6">
        <v>42</v>
      </c>
      <c r="S6">
        <v>93</v>
      </c>
      <c r="T6">
        <v>104</v>
      </c>
      <c r="U6">
        <v>197</v>
      </c>
      <c r="V6">
        <v>129</v>
      </c>
      <c r="W6">
        <v>337</v>
      </c>
      <c r="X6">
        <v>0.3827893175074184</v>
      </c>
      <c r="Y6">
        <v>459.10524322343758</v>
      </c>
      <c r="Z6">
        <v>6</v>
      </c>
      <c r="AA6">
        <v>54</v>
      </c>
      <c r="AB6">
        <v>0</v>
      </c>
      <c r="AC6">
        <v>0</v>
      </c>
      <c r="AD6" t="s">
        <v>45</v>
      </c>
      <c r="AE6" t="s">
        <v>46</v>
      </c>
      <c r="AF6">
        <v>15</v>
      </c>
      <c r="AG6">
        <v>9</v>
      </c>
      <c r="AH6">
        <v>135</v>
      </c>
      <c r="AI6">
        <v>461.78642719984049</v>
      </c>
      <c r="AJ6">
        <v>51.309603022204513</v>
      </c>
      <c r="AK6">
        <v>62.156460399972268</v>
      </c>
      <c r="AL6">
        <v>0</v>
      </c>
      <c r="AM6">
        <v>0</v>
      </c>
      <c r="AN6">
        <v>0.4720812182741117</v>
      </c>
      <c r="AO6">
        <v>5</v>
      </c>
    </row>
    <row r="7" spans="1:41" x14ac:dyDescent="0.3">
      <c r="A7" t="s">
        <v>41</v>
      </c>
      <c r="B7" t="s">
        <v>55</v>
      </c>
      <c r="C7" t="s">
        <v>56</v>
      </c>
      <c r="D7">
        <v>537.94276950019412</v>
      </c>
      <c r="E7">
        <v>8.9657128250032354</v>
      </c>
      <c r="F7">
        <v>1</v>
      </c>
      <c r="G7">
        <v>91</v>
      </c>
      <c r="H7">
        <v>15</v>
      </c>
      <c r="I7">
        <v>120</v>
      </c>
      <c r="J7">
        <v>60</v>
      </c>
      <c r="K7" t="s">
        <v>44</v>
      </c>
      <c r="L7">
        <v>20</v>
      </c>
      <c r="M7">
        <v>1</v>
      </c>
      <c r="N7" t="b">
        <v>0</v>
      </c>
      <c r="O7">
        <v>20000</v>
      </c>
      <c r="P7">
        <v>5</v>
      </c>
      <c r="Q7" t="b">
        <v>1</v>
      </c>
      <c r="R7">
        <v>42</v>
      </c>
      <c r="S7">
        <v>87</v>
      </c>
      <c r="T7">
        <v>119</v>
      </c>
      <c r="U7">
        <v>206</v>
      </c>
      <c r="V7">
        <v>109</v>
      </c>
      <c r="W7">
        <v>341</v>
      </c>
      <c r="X7">
        <v>0.31964809384164222</v>
      </c>
      <c r="Y7">
        <v>463.13621877771368</v>
      </c>
      <c r="Z7">
        <v>6</v>
      </c>
      <c r="AA7">
        <v>65</v>
      </c>
      <c r="AB7">
        <v>6</v>
      </c>
      <c r="AC7">
        <v>0</v>
      </c>
      <c r="AD7" t="s">
        <v>45</v>
      </c>
      <c r="AE7" t="s">
        <v>46</v>
      </c>
      <c r="AF7">
        <v>15</v>
      </c>
      <c r="AG7">
        <v>9</v>
      </c>
      <c r="AH7">
        <v>135</v>
      </c>
      <c r="AI7">
        <v>493.856134200003</v>
      </c>
      <c r="AJ7">
        <v>54.87290380000033</v>
      </c>
      <c r="AK7">
        <v>62.153360099997371</v>
      </c>
      <c r="AL7">
        <v>0</v>
      </c>
      <c r="AM7">
        <v>0</v>
      </c>
      <c r="AN7">
        <v>0.42233009708737862</v>
      </c>
      <c r="AO7">
        <v>6</v>
      </c>
    </row>
    <row r="8" spans="1:41" x14ac:dyDescent="0.3">
      <c r="D8">
        <f>AVERAGE(Tabla1[elapsed_total_sec])</f>
        <v>533.57464933337178</v>
      </c>
      <c r="E8">
        <f>AVERAGE(Tabla1[elapsed_total_min])</f>
        <v>8.8929108222228646</v>
      </c>
    </row>
    <row r="9" spans="1:41" x14ac:dyDescent="0.3">
      <c r="D9">
        <f>Tabla1[[#Totals],[elapsed_total_sec]]/60</f>
        <v>8.8929108222228628</v>
      </c>
    </row>
    <row r="10" spans="1:41" x14ac:dyDescent="0.3">
      <c r="C10" t="s">
        <v>185</v>
      </c>
      <c r="D10">
        <f>15*60/D9</f>
        <v>101.20420838483534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D2"/>
  <sheetViews>
    <sheetView workbookViewId="0"/>
  </sheetViews>
  <sheetFormatPr baseColWidth="10" defaultColWidth="8.88671875" defaultRowHeight="14.4" x14ac:dyDescent="0.3"/>
  <sheetData>
    <row r="1" spans="1:134" x14ac:dyDescent="0.3">
      <c r="A1" t="s">
        <v>5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14</v>
      </c>
      <c r="H1" t="s">
        <v>15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112</v>
      </c>
      <c r="BM1" t="s">
        <v>113</v>
      </c>
      <c r="BN1" t="s">
        <v>114</v>
      </c>
      <c r="BO1" t="s">
        <v>115</v>
      </c>
      <c r="BP1" t="s">
        <v>116</v>
      </c>
      <c r="BQ1" t="s">
        <v>117</v>
      </c>
      <c r="BR1" t="s">
        <v>118</v>
      </c>
      <c r="BS1" t="s">
        <v>119</v>
      </c>
      <c r="BT1" t="s">
        <v>120</v>
      </c>
      <c r="BU1" t="s">
        <v>121</v>
      </c>
      <c r="BV1" t="s">
        <v>122</v>
      </c>
      <c r="BW1" t="s">
        <v>123</v>
      </c>
      <c r="BX1" t="s">
        <v>124</v>
      </c>
      <c r="BY1" t="s">
        <v>125</v>
      </c>
      <c r="BZ1" t="s">
        <v>126</v>
      </c>
      <c r="CA1" t="s">
        <v>127</v>
      </c>
      <c r="CB1" t="s">
        <v>128</v>
      </c>
      <c r="CC1" t="s">
        <v>129</v>
      </c>
      <c r="CD1" t="s">
        <v>130</v>
      </c>
      <c r="CE1" t="s">
        <v>131</v>
      </c>
      <c r="CF1" t="s">
        <v>132</v>
      </c>
      <c r="CG1" t="s">
        <v>133</v>
      </c>
      <c r="CH1" t="s">
        <v>134</v>
      </c>
      <c r="CI1" t="s">
        <v>135</v>
      </c>
      <c r="CJ1" t="s">
        <v>136</v>
      </c>
      <c r="CK1" t="s">
        <v>137</v>
      </c>
      <c r="CL1" t="s">
        <v>138</v>
      </c>
      <c r="CM1" t="s">
        <v>139</v>
      </c>
      <c r="CN1" t="s">
        <v>140</v>
      </c>
      <c r="CO1" t="s">
        <v>141</v>
      </c>
      <c r="CP1" t="s">
        <v>142</v>
      </c>
      <c r="CQ1" t="s">
        <v>143</v>
      </c>
      <c r="CR1" t="s">
        <v>144</v>
      </c>
      <c r="CS1" t="s">
        <v>145</v>
      </c>
      <c r="CT1" t="s">
        <v>146</v>
      </c>
      <c r="CU1" t="s">
        <v>147</v>
      </c>
      <c r="CV1" t="s">
        <v>148</v>
      </c>
      <c r="CW1" t="s">
        <v>149</v>
      </c>
      <c r="CX1" t="s">
        <v>150</v>
      </c>
      <c r="CY1" t="s">
        <v>151</v>
      </c>
      <c r="CZ1" t="s">
        <v>152</v>
      </c>
      <c r="DA1" t="s">
        <v>153</v>
      </c>
      <c r="DB1" t="s">
        <v>154</v>
      </c>
      <c r="DC1" t="s">
        <v>155</v>
      </c>
      <c r="DD1" t="s">
        <v>156</v>
      </c>
      <c r="DE1" t="s">
        <v>157</v>
      </c>
      <c r="DF1" t="s">
        <v>158</v>
      </c>
      <c r="DG1" t="s">
        <v>159</v>
      </c>
      <c r="DH1" t="s">
        <v>160</v>
      </c>
      <c r="DI1" t="s">
        <v>161</v>
      </c>
      <c r="DJ1" t="s">
        <v>162</v>
      </c>
      <c r="DK1" t="s">
        <v>163</v>
      </c>
      <c r="DL1" t="s">
        <v>164</v>
      </c>
      <c r="DM1" t="s">
        <v>165</v>
      </c>
      <c r="DN1" t="s">
        <v>166</v>
      </c>
      <c r="DO1" t="s">
        <v>167</v>
      </c>
      <c r="DP1" t="s">
        <v>168</v>
      </c>
      <c r="DQ1" t="s">
        <v>169</v>
      </c>
      <c r="DR1" t="s">
        <v>170</v>
      </c>
      <c r="DS1" t="s">
        <v>171</v>
      </c>
      <c r="DT1" t="s">
        <v>172</v>
      </c>
      <c r="DU1" t="s">
        <v>173</v>
      </c>
      <c r="DV1" t="s">
        <v>174</v>
      </c>
      <c r="DW1" t="s">
        <v>175</v>
      </c>
      <c r="DX1" t="s">
        <v>176</v>
      </c>
      <c r="DY1" t="s">
        <v>177</v>
      </c>
      <c r="DZ1" t="s">
        <v>178</v>
      </c>
      <c r="EA1" t="s">
        <v>179</v>
      </c>
      <c r="EB1" t="s">
        <v>180</v>
      </c>
      <c r="EC1" t="s">
        <v>181</v>
      </c>
      <c r="ED1" t="s">
        <v>182</v>
      </c>
    </row>
    <row r="2" spans="1:134" x14ac:dyDescent="0.3">
      <c r="A2">
        <v>1</v>
      </c>
      <c r="B2">
        <v>15</v>
      </c>
      <c r="C2">
        <v>120</v>
      </c>
      <c r="D2">
        <v>60</v>
      </c>
      <c r="E2" t="s">
        <v>44</v>
      </c>
      <c r="F2">
        <v>20</v>
      </c>
      <c r="G2">
        <v>20000</v>
      </c>
      <c r="H2">
        <v>5</v>
      </c>
      <c r="I2">
        <v>6</v>
      </c>
      <c r="J2">
        <v>96.5</v>
      </c>
      <c r="K2">
        <v>5.8906705900092584</v>
      </c>
      <c r="L2">
        <v>87</v>
      </c>
      <c r="M2">
        <v>104</v>
      </c>
      <c r="N2">
        <v>6</v>
      </c>
      <c r="O2">
        <v>106.3333333333333</v>
      </c>
      <c r="P2">
        <v>13.2312760785446</v>
      </c>
      <c r="Q2">
        <v>84</v>
      </c>
      <c r="R2">
        <v>119</v>
      </c>
      <c r="S2">
        <v>6</v>
      </c>
      <c r="T2">
        <v>202.83333333333329</v>
      </c>
      <c r="U2">
        <v>12.67149030961499</v>
      </c>
      <c r="V2">
        <v>182</v>
      </c>
      <c r="W2">
        <v>216</v>
      </c>
      <c r="X2">
        <v>6</v>
      </c>
      <c r="Y2">
        <v>0.47719671599010099</v>
      </c>
      <c r="Z2">
        <v>4.009007251696136E-2</v>
      </c>
      <c r="AA2">
        <v>0.42233009708737862</v>
      </c>
      <c r="AB2">
        <v>0.53846153846153844</v>
      </c>
      <c r="AC2">
        <v>6</v>
      </c>
      <c r="AD2">
        <v>133.5</v>
      </c>
      <c r="AE2">
        <v>14.936532395439039</v>
      </c>
      <c r="AF2">
        <v>109</v>
      </c>
      <c r="AG2">
        <v>151</v>
      </c>
      <c r="AH2">
        <v>6</v>
      </c>
      <c r="AI2">
        <v>336.5</v>
      </c>
      <c r="AJ2">
        <v>10.483320084782299</v>
      </c>
      <c r="AK2">
        <v>316</v>
      </c>
      <c r="AL2">
        <v>346</v>
      </c>
      <c r="AM2">
        <v>6</v>
      </c>
      <c r="AN2">
        <v>0.39772539487527497</v>
      </c>
      <c r="AO2">
        <v>5.3243733276320107E-2</v>
      </c>
      <c r="AP2">
        <v>0.31964809384164222</v>
      </c>
      <c r="AQ2">
        <v>0.47784810126582278</v>
      </c>
      <c r="AR2">
        <v>6</v>
      </c>
      <c r="AS2">
        <v>455.60926333003152</v>
      </c>
      <c r="AT2">
        <v>6.2714952904689296</v>
      </c>
      <c r="AU2">
        <v>445.7473617787723</v>
      </c>
      <c r="AV2">
        <v>463.13621877771368</v>
      </c>
      <c r="AW2">
        <v>6</v>
      </c>
      <c r="AX2">
        <v>6.5</v>
      </c>
      <c r="AY2">
        <v>0.83666002653407556</v>
      </c>
      <c r="AZ2">
        <v>6</v>
      </c>
      <c r="BA2">
        <v>8</v>
      </c>
      <c r="BB2">
        <v>6</v>
      </c>
      <c r="BC2">
        <v>57.333333333333343</v>
      </c>
      <c r="BD2">
        <v>9.7091022585338287</v>
      </c>
      <c r="BE2">
        <v>43</v>
      </c>
      <c r="BF2">
        <v>70</v>
      </c>
      <c r="BG2">
        <v>6</v>
      </c>
      <c r="BH2">
        <v>7.333333333333333</v>
      </c>
      <c r="BI2">
        <v>9.5008771524879041</v>
      </c>
      <c r="BJ2">
        <v>0</v>
      </c>
      <c r="BK2">
        <v>26</v>
      </c>
      <c r="BL2">
        <v>6</v>
      </c>
      <c r="BM2">
        <v>1.833333333333333</v>
      </c>
      <c r="BN2">
        <v>2.0412414523193152</v>
      </c>
      <c r="BO2">
        <v>0</v>
      </c>
      <c r="BP2">
        <v>4</v>
      </c>
      <c r="BQ2">
        <v>6</v>
      </c>
      <c r="BR2">
        <v>9.3333333333333339</v>
      </c>
      <c r="BS2">
        <v>1.3662601021279459</v>
      </c>
      <c r="BT2">
        <v>8</v>
      </c>
      <c r="BU2">
        <v>12</v>
      </c>
      <c r="BV2">
        <v>6</v>
      </c>
      <c r="BW2">
        <v>140</v>
      </c>
      <c r="BX2">
        <v>20.493901531919199</v>
      </c>
      <c r="BY2">
        <v>120</v>
      </c>
      <c r="BZ2">
        <v>180</v>
      </c>
      <c r="CA2">
        <v>6</v>
      </c>
      <c r="CB2">
        <v>489.78593546672101</v>
      </c>
      <c r="CC2">
        <v>79.3488865164488</v>
      </c>
      <c r="CD2">
        <v>413.30606110021472</v>
      </c>
      <c r="CE2">
        <v>634.75446110009216</v>
      </c>
      <c r="CF2">
        <v>6</v>
      </c>
      <c r="CG2">
        <v>52.43870842894129</v>
      </c>
      <c r="CH2">
        <v>2.9444312280543681</v>
      </c>
      <c r="CI2">
        <v>47.770793588883762</v>
      </c>
      <c r="CJ2">
        <v>56.119487433357989</v>
      </c>
      <c r="CK2">
        <v>6</v>
      </c>
      <c r="CL2">
        <v>62.657267583301291</v>
      </c>
      <c r="CM2">
        <v>0.85697157069972085</v>
      </c>
      <c r="CN2">
        <v>62.153360099997371</v>
      </c>
      <c r="CO2">
        <v>64.378322700038552</v>
      </c>
      <c r="CP2">
        <v>6</v>
      </c>
      <c r="CQ2">
        <v>0</v>
      </c>
      <c r="CR2">
        <v>0</v>
      </c>
      <c r="CS2">
        <v>0</v>
      </c>
      <c r="CT2">
        <v>0</v>
      </c>
      <c r="CU2">
        <v>6</v>
      </c>
      <c r="CV2">
        <v>0</v>
      </c>
      <c r="CW2">
        <v>0</v>
      </c>
      <c r="CX2">
        <v>0</v>
      </c>
      <c r="CY2">
        <v>0</v>
      </c>
      <c r="CZ2">
        <v>6</v>
      </c>
      <c r="DA2">
        <v>533.57464933337178</v>
      </c>
      <c r="DB2">
        <v>69.940948828484849</v>
      </c>
      <c r="DC2">
        <v>468.56471930001862</v>
      </c>
      <c r="DD2">
        <v>663.57064549997449</v>
      </c>
      <c r="DE2">
        <v>6</v>
      </c>
      <c r="DF2">
        <v>8.8929108222228646</v>
      </c>
      <c r="DG2">
        <v>1.1656824804747481</v>
      </c>
      <c r="DH2">
        <v>7.8094119883336441</v>
      </c>
      <c r="DI2">
        <v>11.059510758332911</v>
      </c>
      <c r="DJ2">
        <v>2.4048561980570349</v>
      </c>
      <c r="DK2">
        <v>5.4016458397212403</v>
      </c>
      <c r="DL2">
        <v>5.1731142565297272</v>
      </c>
      <c r="DM2">
        <v>1.636670356962177E-2</v>
      </c>
      <c r="DN2">
        <v>6.0978138158960986</v>
      </c>
      <c r="DO2">
        <v>4.2797975029978534</v>
      </c>
      <c r="DP2">
        <v>2.1736663087971581E-2</v>
      </c>
      <c r="DQ2">
        <v>2.5603272309861089</v>
      </c>
      <c r="DR2">
        <v>0.34156502553198659</v>
      </c>
      <c r="DS2">
        <v>3.9637243989852671</v>
      </c>
      <c r="DT2">
        <v>3.8787168554103619</v>
      </c>
      <c r="DU2">
        <v>0.83333333333333348</v>
      </c>
      <c r="DV2">
        <v>0.55777335102271697</v>
      </c>
      <c r="DW2">
        <v>8.3666002653407556</v>
      </c>
      <c r="DX2">
        <v>32.394047270551297</v>
      </c>
      <c r="DY2">
        <v>1.2020590152416091</v>
      </c>
      <c r="DZ2">
        <v>0.34985717871429262</v>
      </c>
      <c r="EA2">
        <v>0</v>
      </c>
      <c r="EB2">
        <v>0</v>
      </c>
      <c r="EC2">
        <v>28.553272792649469</v>
      </c>
      <c r="ED2">
        <v>0.47588787987749109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W2"/>
  <sheetViews>
    <sheetView workbookViewId="0"/>
  </sheetViews>
  <sheetFormatPr baseColWidth="10" defaultColWidth="8.88671875" defaultRowHeight="14.4" x14ac:dyDescent="0.3"/>
  <sheetData>
    <row r="1" spans="1:127" x14ac:dyDescent="0.3">
      <c r="A1" t="s">
        <v>5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108</v>
      </c>
      <c r="BB1" t="s">
        <v>109</v>
      </c>
      <c r="BC1" t="s">
        <v>110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I1" t="s">
        <v>116</v>
      </c>
      <c r="BJ1" t="s">
        <v>117</v>
      </c>
      <c r="BK1" t="s">
        <v>118</v>
      </c>
      <c r="BL1" t="s">
        <v>119</v>
      </c>
      <c r="BM1" t="s">
        <v>120</v>
      </c>
      <c r="BN1" t="s">
        <v>121</v>
      </c>
      <c r="BO1" t="s">
        <v>122</v>
      </c>
      <c r="BP1" t="s">
        <v>123</v>
      </c>
      <c r="BQ1" t="s">
        <v>124</v>
      </c>
      <c r="BR1" t="s">
        <v>125</v>
      </c>
      <c r="BS1" t="s">
        <v>126</v>
      </c>
      <c r="BT1" t="s">
        <v>127</v>
      </c>
      <c r="BU1" t="s">
        <v>128</v>
      </c>
      <c r="BV1" t="s">
        <v>129</v>
      </c>
      <c r="BW1" t="s">
        <v>130</v>
      </c>
      <c r="BX1" t="s">
        <v>131</v>
      </c>
      <c r="BY1" t="s">
        <v>132</v>
      </c>
      <c r="BZ1" t="s">
        <v>133</v>
      </c>
      <c r="CA1" t="s">
        <v>134</v>
      </c>
      <c r="CB1" t="s">
        <v>135</v>
      </c>
      <c r="CC1" t="s">
        <v>136</v>
      </c>
      <c r="CD1" t="s">
        <v>137</v>
      </c>
      <c r="CE1" t="s">
        <v>138</v>
      </c>
      <c r="CF1" t="s">
        <v>139</v>
      </c>
      <c r="CG1" t="s">
        <v>140</v>
      </c>
      <c r="CH1" t="s">
        <v>141</v>
      </c>
      <c r="CI1" t="s">
        <v>142</v>
      </c>
      <c r="CJ1" t="s">
        <v>143</v>
      </c>
      <c r="CK1" t="s">
        <v>144</v>
      </c>
      <c r="CL1" t="s">
        <v>145</v>
      </c>
      <c r="CM1" t="s">
        <v>146</v>
      </c>
      <c r="CN1" t="s">
        <v>147</v>
      </c>
      <c r="CO1" t="s">
        <v>148</v>
      </c>
      <c r="CP1" t="s">
        <v>149</v>
      </c>
      <c r="CQ1" t="s">
        <v>150</v>
      </c>
      <c r="CR1" t="s">
        <v>151</v>
      </c>
      <c r="CS1" t="s">
        <v>152</v>
      </c>
      <c r="CT1" t="s">
        <v>153</v>
      </c>
      <c r="CU1" t="s">
        <v>154</v>
      </c>
      <c r="CV1" t="s">
        <v>155</v>
      </c>
      <c r="CW1" t="s">
        <v>156</v>
      </c>
      <c r="CX1" t="s">
        <v>157</v>
      </c>
      <c r="CY1" t="s">
        <v>158</v>
      </c>
      <c r="CZ1" t="s">
        <v>159</v>
      </c>
      <c r="DA1" t="s">
        <v>160</v>
      </c>
      <c r="DB1" t="s">
        <v>161</v>
      </c>
      <c r="DC1" t="s">
        <v>162</v>
      </c>
      <c r="DD1" t="s">
        <v>163</v>
      </c>
      <c r="DE1" t="s">
        <v>164</v>
      </c>
      <c r="DF1" t="s">
        <v>165</v>
      </c>
      <c r="DG1" t="s">
        <v>166</v>
      </c>
      <c r="DH1" t="s">
        <v>167</v>
      </c>
      <c r="DI1" t="s">
        <v>168</v>
      </c>
      <c r="DJ1" t="s">
        <v>169</v>
      </c>
      <c r="DK1" t="s">
        <v>170</v>
      </c>
      <c r="DL1" t="s">
        <v>171</v>
      </c>
      <c r="DM1" t="s">
        <v>172</v>
      </c>
      <c r="DN1" t="s">
        <v>173</v>
      </c>
      <c r="DO1" t="s">
        <v>174</v>
      </c>
      <c r="DP1" t="s">
        <v>175</v>
      </c>
      <c r="DQ1" t="s">
        <v>176</v>
      </c>
      <c r="DR1" t="s">
        <v>177</v>
      </c>
      <c r="DS1" t="s">
        <v>178</v>
      </c>
      <c r="DT1" t="s">
        <v>179</v>
      </c>
      <c r="DU1" t="s">
        <v>180</v>
      </c>
      <c r="DV1" t="s">
        <v>181</v>
      </c>
      <c r="DW1" t="s">
        <v>182</v>
      </c>
    </row>
    <row r="2" spans="1:127" x14ac:dyDescent="0.3">
      <c r="A2">
        <v>1</v>
      </c>
      <c r="B2">
        <v>6</v>
      </c>
      <c r="C2">
        <v>96.5</v>
      </c>
      <c r="D2">
        <v>5.8906705900092584</v>
      </c>
      <c r="E2">
        <v>87</v>
      </c>
      <c r="F2">
        <v>104</v>
      </c>
      <c r="G2">
        <v>6</v>
      </c>
      <c r="H2">
        <v>106.3333333333333</v>
      </c>
      <c r="I2">
        <v>13.2312760785446</v>
      </c>
      <c r="J2">
        <v>84</v>
      </c>
      <c r="K2">
        <v>119</v>
      </c>
      <c r="L2">
        <v>6</v>
      </c>
      <c r="M2">
        <v>202.83333333333329</v>
      </c>
      <c r="N2">
        <v>12.67149030961499</v>
      </c>
      <c r="O2">
        <v>182</v>
      </c>
      <c r="P2">
        <v>216</v>
      </c>
      <c r="Q2">
        <v>6</v>
      </c>
      <c r="R2">
        <v>0.47719671599010099</v>
      </c>
      <c r="S2">
        <v>4.009007251696136E-2</v>
      </c>
      <c r="T2">
        <v>0.42233009708737862</v>
      </c>
      <c r="U2">
        <v>0.53846153846153844</v>
      </c>
      <c r="V2">
        <v>6</v>
      </c>
      <c r="W2">
        <v>133.5</v>
      </c>
      <c r="X2">
        <v>14.936532395439039</v>
      </c>
      <c r="Y2">
        <v>109</v>
      </c>
      <c r="Z2">
        <v>151</v>
      </c>
      <c r="AA2">
        <v>6</v>
      </c>
      <c r="AB2">
        <v>336.5</v>
      </c>
      <c r="AC2">
        <v>10.483320084782299</v>
      </c>
      <c r="AD2">
        <v>316</v>
      </c>
      <c r="AE2">
        <v>346</v>
      </c>
      <c r="AF2">
        <v>6</v>
      </c>
      <c r="AG2">
        <v>0.39772539487527497</v>
      </c>
      <c r="AH2">
        <v>5.3243733276320107E-2</v>
      </c>
      <c r="AI2">
        <v>0.31964809384164222</v>
      </c>
      <c r="AJ2">
        <v>0.47784810126582278</v>
      </c>
      <c r="AK2">
        <v>6</v>
      </c>
      <c r="AL2">
        <v>455.60926333003152</v>
      </c>
      <c r="AM2">
        <v>6.2714952904689296</v>
      </c>
      <c r="AN2">
        <v>445.7473617787723</v>
      </c>
      <c r="AO2">
        <v>463.13621877771368</v>
      </c>
      <c r="AP2">
        <v>6</v>
      </c>
      <c r="AQ2">
        <v>6.5</v>
      </c>
      <c r="AR2">
        <v>0.83666002653407556</v>
      </c>
      <c r="AS2">
        <v>6</v>
      </c>
      <c r="AT2">
        <v>8</v>
      </c>
      <c r="AU2">
        <v>6</v>
      </c>
      <c r="AV2">
        <v>57.333333333333343</v>
      </c>
      <c r="AW2">
        <v>9.7091022585338287</v>
      </c>
      <c r="AX2">
        <v>43</v>
      </c>
      <c r="AY2">
        <v>70</v>
      </c>
      <c r="AZ2">
        <v>6</v>
      </c>
      <c r="BA2">
        <v>7.333333333333333</v>
      </c>
      <c r="BB2">
        <v>9.5008771524879041</v>
      </c>
      <c r="BC2">
        <v>0</v>
      </c>
      <c r="BD2">
        <v>26</v>
      </c>
      <c r="BE2">
        <v>6</v>
      </c>
      <c r="BF2">
        <v>1.833333333333333</v>
      </c>
      <c r="BG2">
        <v>2.0412414523193152</v>
      </c>
      <c r="BH2">
        <v>0</v>
      </c>
      <c r="BI2">
        <v>4</v>
      </c>
      <c r="BJ2">
        <v>6</v>
      </c>
      <c r="BK2">
        <v>9.3333333333333339</v>
      </c>
      <c r="BL2">
        <v>1.3662601021279459</v>
      </c>
      <c r="BM2">
        <v>8</v>
      </c>
      <c r="BN2">
        <v>12</v>
      </c>
      <c r="BO2">
        <v>6</v>
      </c>
      <c r="BP2">
        <v>140</v>
      </c>
      <c r="BQ2">
        <v>20.493901531919199</v>
      </c>
      <c r="BR2">
        <v>120</v>
      </c>
      <c r="BS2">
        <v>180</v>
      </c>
      <c r="BT2">
        <v>6</v>
      </c>
      <c r="BU2">
        <v>489.78593546672101</v>
      </c>
      <c r="BV2">
        <v>79.3488865164488</v>
      </c>
      <c r="BW2">
        <v>413.30606110021472</v>
      </c>
      <c r="BX2">
        <v>634.75446110009216</v>
      </c>
      <c r="BY2">
        <v>6</v>
      </c>
      <c r="BZ2">
        <v>52.43870842894129</v>
      </c>
      <c r="CA2">
        <v>2.9444312280543681</v>
      </c>
      <c r="CB2">
        <v>47.770793588883762</v>
      </c>
      <c r="CC2">
        <v>56.119487433357989</v>
      </c>
      <c r="CD2">
        <v>6</v>
      </c>
      <c r="CE2">
        <v>62.657267583301291</v>
      </c>
      <c r="CF2">
        <v>0.85697157069972085</v>
      </c>
      <c r="CG2">
        <v>62.153360099997371</v>
      </c>
      <c r="CH2">
        <v>64.378322700038552</v>
      </c>
      <c r="CI2">
        <v>6</v>
      </c>
      <c r="CJ2">
        <v>0</v>
      </c>
      <c r="CK2">
        <v>0</v>
      </c>
      <c r="CL2">
        <v>0</v>
      </c>
      <c r="CM2">
        <v>0</v>
      </c>
      <c r="CN2">
        <v>6</v>
      </c>
      <c r="CO2">
        <v>0</v>
      </c>
      <c r="CP2">
        <v>0</v>
      </c>
      <c r="CQ2">
        <v>0</v>
      </c>
      <c r="CR2">
        <v>0</v>
      </c>
      <c r="CS2">
        <v>6</v>
      </c>
      <c r="CT2">
        <v>533.57464933337178</v>
      </c>
      <c r="CU2">
        <v>69.940948828484849</v>
      </c>
      <c r="CV2">
        <v>468.56471930001862</v>
      </c>
      <c r="CW2">
        <v>663.57064549997449</v>
      </c>
      <c r="CX2">
        <v>6</v>
      </c>
      <c r="CY2">
        <v>8.8929108222228646</v>
      </c>
      <c r="CZ2">
        <v>1.1656824804747481</v>
      </c>
      <c r="DA2">
        <v>7.8094119883336441</v>
      </c>
      <c r="DB2">
        <v>11.059510758332911</v>
      </c>
      <c r="DC2">
        <v>2.4048561980570349</v>
      </c>
      <c r="DD2">
        <v>5.4016458397212403</v>
      </c>
      <c r="DE2">
        <v>5.1731142565297272</v>
      </c>
      <c r="DF2">
        <v>1.636670356962177E-2</v>
      </c>
      <c r="DG2">
        <v>6.0978138158960986</v>
      </c>
      <c r="DH2">
        <v>4.2797975029978534</v>
      </c>
      <c r="DI2">
        <v>2.1736663087971581E-2</v>
      </c>
      <c r="DJ2">
        <v>2.5603272309861089</v>
      </c>
      <c r="DK2">
        <v>0.34156502553198659</v>
      </c>
      <c r="DL2">
        <v>3.9637243989852671</v>
      </c>
      <c r="DM2">
        <v>3.8787168554103619</v>
      </c>
      <c r="DN2">
        <v>0.83333333333333348</v>
      </c>
      <c r="DO2">
        <v>0.55777335102271697</v>
      </c>
      <c r="DP2">
        <v>8.3666002653407556</v>
      </c>
      <c r="DQ2">
        <v>32.394047270551297</v>
      </c>
      <c r="DR2">
        <v>1.2020590152416091</v>
      </c>
      <c r="DS2">
        <v>0.34985717871429262</v>
      </c>
      <c r="DT2">
        <v>0</v>
      </c>
      <c r="DU2">
        <v>0</v>
      </c>
      <c r="DV2">
        <v>28.553272792649469</v>
      </c>
      <c r="DW2">
        <v>0.47588787987749109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W2"/>
  <sheetViews>
    <sheetView workbookViewId="0"/>
  </sheetViews>
  <sheetFormatPr baseColWidth="10" defaultColWidth="8.88671875" defaultRowHeight="14.4" x14ac:dyDescent="0.3"/>
  <sheetData>
    <row r="1" spans="1:127" x14ac:dyDescent="0.3">
      <c r="A1" t="s">
        <v>183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81</v>
      </c>
      <c r="AA1" t="s">
        <v>82</v>
      </c>
      <c r="AB1" t="s">
        <v>83</v>
      </c>
      <c r="AC1" t="s">
        <v>84</v>
      </c>
      <c r="AD1" t="s">
        <v>85</v>
      </c>
      <c r="AE1" t="s">
        <v>86</v>
      </c>
      <c r="AF1" t="s">
        <v>87</v>
      </c>
      <c r="AG1" t="s">
        <v>88</v>
      </c>
      <c r="AH1" t="s">
        <v>89</v>
      </c>
      <c r="AI1" t="s">
        <v>90</v>
      </c>
      <c r="AJ1" t="s">
        <v>91</v>
      </c>
      <c r="AK1" t="s">
        <v>92</v>
      </c>
      <c r="AL1" t="s">
        <v>93</v>
      </c>
      <c r="AM1" t="s">
        <v>94</v>
      </c>
      <c r="AN1" t="s">
        <v>95</v>
      </c>
      <c r="AO1" t="s">
        <v>96</v>
      </c>
      <c r="AP1" t="s">
        <v>97</v>
      </c>
      <c r="AQ1" t="s">
        <v>98</v>
      </c>
      <c r="AR1" t="s">
        <v>99</v>
      </c>
      <c r="AS1" t="s">
        <v>100</v>
      </c>
      <c r="AT1" t="s">
        <v>101</v>
      </c>
      <c r="AU1" t="s">
        <v>102</v>
      </c>
      <c r="AV1" t="s">
        <v>103</v>
      </c>
      <c r="AW1" t="s">
        <v>104</v>
      </c>
      <c r="AX1" t="s">
        <v>105</v>
      </c>
      <c r="AY1" t="s">
        <v>106</v>
      </c>
      <c r="AZ1" t="s">
        <v>107</v>
      </c>
      <c r="BA1" t="s">
        <v>108</v>
      </c>
      <c r="BB1" t="s">
        <v>109</v>
      </c>
      <c r="BC1" t="s">
        <v>110</v>
      </c>
      <c r="BD1" t="s">
        <v>111</v>
      </c>
      <c r="BE1" t="s">
        <v>112</v>
      </c>
      <c r="BF1" t="s">
        <v>113</v>
      </c>
      <c r="BG1" t="s">
        <v>114</v>
      </c>
      <c r="BH1" t="s">
        <v>115</v>
      </c>
      <c r="BI1" t="s">
        <v>116</v>
      </c>
      <c r="BJ1" t="s">
        <v>117</v>
      </c>
      <c r="BK1" t="s">
        <v>118</v>
      </c>
      <c r="BL1" t="s">
        <v>119</v>
      </c>
      <c r="BM1" t="s">
        <v>120</v>
      </c>
      <c r="BN1" t="s">
        <v>121</v>
      </c>
      <c r="BO1" t="s">
        <v>122</v>
      </c>
      <c r="BP1" t="s">
        <v>123</v>
      </c>
      <c r="BQ1" t="s">
        <v>124</v>
      </c>
      <c r="BR1" t="s">
        <v>125</v>
      </c>
      <c r="BS1" t="s">
        <v>126</v>
      </c>
      <c r="BT1" t="s">
        <v>127</v>
      </c>
      <c r="BU1" t="s">
        <v>128</v>
      </c>
      <c r="BV1" t="s">
        <v>129</v>
      </c>
      <c r="BW1" t="s">
        <v>130</v>
      </c>
      <c r="BX1" t="s">
        <v>131</v>
      </c>
      <c r="BY1" t="s">
        <v>132</v>
      </c>
      <c r="BZ1" t="s">
        <v>133</v>
      </c>
      <c r="CA1" t="s">
        <v>134</v>
      </c>
      <c r="CB1" t="s">
        <v>135</v>
      </c>
      <c r="CC1" t="s">
        <v>136</v>
      </c>
      <c r="CD1" t="s">
        <v>137</v>
      </c>
      <c r="CE1" t="s">
        <v>138</v>
      </c>
      <c r="CF1" t="s">
        <v>139</v>
      </c>
      <c r="CG1" t="s">
        <v>140</v>
      </c>
      <c r="CH1" t="s">
        <v>141</v>
      </c>
      <c r="CI1" t="s">
        <v>142</v>
      </c>
      <c r="CJ1" t="s">
        <v>143</v>
      </c>
      <c r="CK1" t="s">
        <v>144</v>
      </c>
      <c r="CL1" t="s">
        <v>145</v>
      </c>
      <c r="CM1" t="s">
        <v>146</v>
      </c>
      <c r="CN1" t="s">
        <v>147</v>
      </c>
      <c r="CO1" t="s">
        <v>148</v>
      </c>
      <c r="CP1" t="s">
        <v>149</v>
      </c>
      <c r="CQ1" t="s">
        <v>150</v>
      </c>
      <c r="CR1" t="s">
        <v>151</v>
      </c>
      <c r="CS1" t="s">
        <v>152</v>
      </c>
      <c r="CT1" t="s">
        <v>153</v>
      </c>
      <c r="CU1" t="s">
        <v>154</v>
      </c>
      <c r="CV1" t="s">
        <v>155</v>
      </c>
      <c r="CW1" t="s">
        <v>156</v>
      </c>
      <c r="CX1" t="s">
        <v>157</v>
      </c>
      <c r="CY1" t="s">
        <v>158</v>
      </c>
      <c r="CZ1" t="s">
        <v>159</v>
      </c>
      <c r="DA1" t="s">
        <v>160</v>
      </c>
      <c r="DB1" t="s">
        <v>161</v>
      </c>
      <c r="DC1" t="s">
        <v>162</v>
      </c>
      <c r="DD1" t="s">
        <v>163</v>
      </c>
      <c r="DE1" t="s">
        <v>164</v>
      </c>
      <c r="DF1" t="s">
        <v>165</v>
      </c>
      <c r="DG1" t="s">
        <v>166</v>
      </c>
      <c r="DH1" t="s">
        <v>167</v>
      </c>
      <c r="DI1" t="s">
        <v>168</v>
      </c>
      <c r="DJ1" t="s">
        <v>169</v>
      </c>
      <c r="DK1" t="s">
        <v>170</v>
      </c>
      <c r="DL1" t="s">
        <v>171</v>
      </c>
      <c r="DM1" t="s">
        <v>172</v>
      </c>
      <c r="DN1" t="s">
        <v>173</v>
      </c>
      <c r="DO1" t="s">
        <v>174</v>
      </c>
      <c r="DP1" t="s">
        <v>175</v>
      </c>
      <c r="DQ1" t="s">
        <v>176</v>
      </c>
      <c r="DR1" t="s">
        <v>177</v>
      </c>
      <c r="DS1" t="s">
        <v>178</v>
      </c>
      <c r="DT1" t="s">
        <v>179</v>
      </c>
      <c r="DU1" t="s">
        <v>180</v>
      </c>
      <c r="DV1" t="s">
        <v>181</v>
      </c>
      <c r="DW1" t="s">
        <v>182</v>
      </c>
    </row>
    <row r="2" spans="1:127" x14ac:dyDescent="0.3">
      <c r="A2" t="s">
        <v>184</v>
      </c>
      <c r="B2">
        <v>6</v>
      </c>
      <c r="C2">
        <v>96.5</v>
      </c>
      <c r="D2">
        <v>5.8906705900092584</v>
      </c>
      <c r="E2">
        <v>87</v>
      </c>
      <c r="F2">
        <v>104</v>
      </c>
      <c r="G2">
        <v>6</v>
      </c>
      <c r="H2">
        <v>106.3333333333333</v>
      </c>
      <c r="I2">
        <v>13.2312760785446</v>
      </c>
      <c r="J2">
        <v>84</v>
      </c>
      <c r="K2">
        <v>119</v>
      </c>
      <c r="L2">
        <v>6</v>
      </c>
      <c r="M2">
        <v>202.83333333333329</v>
      </c>
      <c r="N2">
        <v>12.67149030961499</v>
      </c>
      <c r="O2">
        <v>182</v>
      </c>
      <c r="P2">
        <v>216</v>
      </c>
      <c r="Q2">
        <v>6</v>
      </c>
      <c r="R2">
        <v>0.47719671599010099</v>
      </c>
      <c r="S2">
        <v>4.009007251696136E-2</v>
      </c>
      <c r="T2">
        <v>0.42233009708737862</v>
      </c>
      <c r="U2">
        <v>0.53846153846153844</v>
      </c>
      <c r="V2">
        <v>6</v>
      </c>
      <c r="W2">
        <v>133.5</v>
      </c>
      <c r="X2">
        <v>14.936532395439039</v>
      </c>
      <c r="Y2">
        <v>109</v>
      </c>
      <c r="Z2">
        <v>151</v>
      </c>
      <c r="AA2">
        <v>6</v>
      </c>
      <c r="AB2">
        <v>336.5</v>
      </c>
      <c r="AC2">
        <v>10.483320084782299</v>
      </c>
      <c r="AD2">
        <v>316</v>
      </c>
      <c r="AE2">
        <v>346</v>
      </c>
      <c r="AF2">
        <v>6</v>
      </c>
      <c r="AG2">
        <v>0.39772539487527497</v>
      </c>
      <c r="AH2">
        <v>5.3243733276320107E-2</v>
      </c>
      <c r="AI2">
        <v>0.31964809384164222</v>
      </c>
      <c r="AJ2">
        <v>0.47784810126582278</v>
      </c>
      <c r="AK2">
        <v>6</v>
      </c>
      <c r="AL2">
        <v>455.60926333003152</v>
      </c>
      <c r="AM2">
        <v>6.2714952904689296</v>
      </c>
      <c r="AN2">
        <v>445.7473617787723</v>
      </c>
      <c r="AO2">
        <v>463.13621877771368</v>
      </c>
      <c r="AP2">
        <v>6</v>
      </c>
      <c r="AQ2">
        <v>6.5</v>
      </c>
      <c r="AR2">
        <v>0.83666002653407556</v>
      </c>
      <c r="AS2">
        <v>6</v>
      </c>
      <c r="AT2">
        <v>8</v>
      </c>
      <c r="AU2">
        <v>6</v>
      </c>
      <c r="AV2">
        <v>57.333333333333343</v>
      </c>
      <c r="AW2">
        <v>9.7091022585338287</v>
      </c>
      <c r="AX2">
        <v>43</v>
      </c>
      <c r="AY2">
        <v>70</v>
      </c>
      <c r="AZ2">
        <v>6</v>
      </c>
      <c r="BA2">
        <v>7.333333333333333</v>
      </c>
      <c r="BB2">
        <v>9.5008771524879041</v>
      </c>
      <c r="BC2">
        <v>0</v>
      </c>
      <c r="BD2">
        <v>26</v>
      </c>
      <c r="BE2">
        <v>6</v>
      </c>
      <c r="BF2">
        <v>1.833333333333333</v>
      </c>
      <c r="BG2">
        <v>2.0412414523193152</v>
      </c>
      <c r="BH2">
        <v>0</v>
      </c>
      <c r="BI2">
        <v>4</v>
      </c>
      <c r="BJ2">
        <v>6</v>
      </c>
      <c r="BK2">
        <v>9.3333333333333339</v>
      </c>
      <c r="BL2">
        <v>1.3662601021279459</v>
      </c>
      <c r="BM2">
        <v>8</v>
      </c>
      <c r="BN2">
        <v>12</v>
      </c>
      <c r="BO2">
        <v>6</v>
      </c>
      <c r="BP2">
        <v>140</v>
      </c>
      <c r="BQ2">
        <v>20.493901531919199</v>
      </c>
      <c r="BR2">
        <v>120</v>
      </c>
      <c r="BS2">
        <v>180</v>
      </c>
      <c r="BT2">
        <v>6</v>
      </c>
      <c r="BU2">
        <v>489.78593546672101</v>
      </c>
      <c r="BV2">
        <v>79.3488865164488</v>
      </c>
      <c r="BW2">
        <v>413.30606110021472</v>
      </c>
      <c r="BX2">
        <v>634.75446110009216</v>
      </c>
      <c r="BY2">
        <v>6</v>
      </c>
      <c r="BZ2">
        <v>52.43870842894129</v>
      </c>
      <c r="CA2">
        <v>2.9444312280543681</v>
      </c>
      <c r="CB2">
        <v>47.770793588883762</v>
      </c>
      <c r="CC2">
        <v>56.119487433357989</v>
      </c>
      <c r="CD2">
        <v>6</v>
      </c>
      <c r="CE2">
        <v>62.657267583301291</v>
      </c>
      <c r="CF2">
        <v>0.85697157069972085</v>
      </c>
      <c r="CG2">
        <v>62.153360099997371</v>
      </c>
      <c r="CH2">
        <v>64.378322700038552</v>
      </c>
      <c r="CI2">
        <v>6</v>
      </c>
      <c r="CJ2">
        <v>0</v>
      </c>
      <c r="CK2">
        <v>0</v>
      </c>
      <c r="CL2">
        <v>0</v>
      </c>
      <c r="CM2">
        <v>0</v>
      </c>
      <c r="CN2">
        <v>6</v>
      </c>
      <c r="CO2">
        <v>0</v>
      </c>
      <c r="CP2">
        <v>0</v>
      </c>
      <c r="CQ2">
        <v>0</v>
      </c>
      <c r="CR2">
        <v>0</v>
      </c>
      <c r="CS2">
        <v>6</v>
      </c>
      <c r="CT2">
        <v>533.57464933337178</v>
      </c>
      <c r="CU2">
        <v>69.940948828484849</v>
      </c>
      <c r="CV2">
        <v>468.56471930001862</v>
      </c>
      <c r="CW2">
        <v>663.57064549997449</v>
      </c>
      <c r="CX2">
        <v>6</v>
      </c>
      <c r="CY2">
        <v>8.8929108222228646</v>
      </c>
      <c r="CZ2">
        <v>1.1656824804747481</v>
      </c>
      <c r="DA2">
        <v>7.8094119883336441</v>
      </c>
      <c r="DB2">
        <v>11.059510758332911</v>
      </c>
      <c r="DC2">
        <v>2.4048561980570349</v>
      </c>
      <c r="DD2">
        <v>5.4016458397212403</v>
      </c>
      <c r="DE2">
        <v>5.1731142565297272</v>
      </c>
      <c r="DF2">
        <v>1.636670356962177E-2</v>
      </c>
      <c r="DG2">
        <v>6.0978138158960986</v>
      </c>
      <c r="DH2">
        <v>4.2797975029978534</v>
      </c>
      <c r="DI2">
        <v>2.1736663087971581E-2</v>
      </c>
      <c r="DJ2">
        <v>2.5603272309861089</v>
      </c>
      <c r="DK2">
        <v>0.34156502553198659</v>
      </c>
      <c r="DL2">
        <v>3.9637243989852671</v>
      </c>
      <c r="DM2">
        <v>3.8787168554103619</v>
      </c>
      <c r="DN2">
        <v>0.83333333333333348</v>
      </c>
      <c r="DO2">
        <v>0.55777335102271697</v>
      </c>
      <c r="DP2">
        <v>8.3666002653407556</v>
      </c>
      <c r="DQ2">
        <v>32.394047270551297</v>
      </c>
      <c r="DR2">
        <v>1.2020590152416091</v>
      </c>
      <c r="DS2">
        <v>0.34985717871429262</v>
      </c>
      <c r="DT2">
        <v>0</v>
      </c>
      <c r="DU2">
        <v>0</v>
      </c>
      <c r="DV2">
        <v>28.553272792649469</v>
      </c>
      <c r="DW2">
        <v>0.47588787987749109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7"/>
  <sheetViews>
    <sheetView workbookViewId="0"/>
  </sheetViews>
  <sheetFormatPr baseColWidth="10" defaultColWidth="8.88671875" defaultRowHeight="14.4" x14ac:dyDescent="0.3"/>
  <sheetData>
    <row r="1" spans="1:10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14</v>
      </c>
      <c r="I1" t="s">
        <v>15</v>
      </c>
      <c r="J1" t="s">
        <v>17</v>
      </c>
    </row>
    <row r="2" spans="1:10" x14ac:dyDescent="0.3">
      <c r="A2">
        <v>1</v>
      </c>
      <c r="B2">
        <v>1</v>
      </c>
      <c r="C2">
        <v>15</v>
      </c>
      <c r="D2">
        <v>120</v>
      </c>
      <c r="E2">
        <v>60</v>
      </c>
      <c r="F2" t="s">
        <v>44</v>
      </c>
      <c r="G2">
        <v>20</v>
      </c>
      <c r="H2">
        <v>20000</v>
      </c>
      <c r="I2">
        <v>5</v>
      </c>
      <c r="J2">
        <v>42</v>
      </c>
    </row>
    <row r="3" spans="1:10" x14ac:dyDescent="0.3">
      <c r="A3">
        <v>1</v>
      </c>
      <c r="B3">
        <v>19</v>
      </c>
      <c r="C3">
        <v>15</v>
      </c>
      <c r="D3">
        <v>120</v>
      </c>
      <c r="E3">
        <v>60</v>
      </c>
      <c r="F3" t="s">
        <v>44</v>
      </c>
      <c r="G3">
        <v>20</v>
      </c>
      <c r="H3">
        <v>20000</v>
      </c>
      <c r="I3">
        <v>5</v>
      </c>
      <c r="J3">
        <v>42</v>
      </c>
    </row>
    <row r="4" spans="1:10" x14ac:dyDescent="0.3">
      <c r="A4">
        <v>1</v>
      </c>
      <c r="B4">
        <v>37</v>
      </c>
      <c r="C4">
        <v>15</v>
      </c>
      <c r="D4">
        <v>120</v>
      </c>
      <c r="E4">
        <v>60</v>
      </c>
      <c r="F4" t="s">
        <v>44</v>
      </c>
      <c r="G4">
        <v>20</v>
      </c>
      <c r="H4">
        <v>20000</v>
      </c>
      <c r="I4">
        <v>5</v>
      </c>
      <c r="J4">
        <v>42</v>
      </c>
    </row>
    <row r="5" spans="1:10" x14ac:dyDescent="0.3">
      <c r="A5">
        <v>1</v>
      </c>
      <c r="B5">
        <v>55</v>
      </c>
      <c r="C5">
        <v>15</v>
      </c>
      <c r="D5">
        <v>120</v>
      </c>
      <c r="E5">
        <v>60</v>
      </c>
      <c r="F5" t="s">
        <v>44</v>
      </c>
      <c r="G5">
        <v>20</v>
      </c>
      <c r="H5">
        <v>20000</v>
      </c>
      <c r="I5">
        <v>5</v>
      </c>
      <c r="J5">
        <v>42</v>
      </c>
    </row>
    <row r="6" spans="1:10" x14ac:dyDescent="0.3">
      <c r="A6">
        <v>1</v>
      </c>
      <c r="B6">
        <v>73</v>
      </c>
      <c r="C6">
        <v>15</v>
      </c>
      <c r="D6">
        <v>120</v>
      </c>
      <c r="E6">
        <v>60</v>
      </c>
      <c r="F6" t="s">
        <v>44</v>
      </c>
      <c r="G6">
        <v>20</v>
      </c>
      <c r="H6">
        <v>20000</v>
      </c>
      <c r="I6">
        <v>5</v>
      </c>
      <c r="J6">
        <v>42</v>
      </c>
    </row>
    <row r="7" spans="1:10" x14ac:dyDescent="0.3">
      <c r="A7">
        <v>1</v>
      </c>
      <c r="B7">
        <v>91</v>
      </c>
      <c r="C7">
        <v>15</v>
      </c>
      <c r="D7">
        <v>120</v>
      </c>
      <c r="E7">
        <v>60</v>
      </c>
      <c r="F7" t="s">
        <v>44</v>
      </c>
      <c r="G7">
        <v>20</v>
      </c>
      <c r="H7">
        <v>20000</v>
      </c>
      <c r="I7">
        <v>5</v>
      </c>
      <c r="J7">
        <v>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baseColWidth="10" defaultColWidth="8.88671875"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runs_detail</vt:lpstr>
      <vt:lpstr>summary_by_config</vt:lpstr>
      <vt:lpstr>summary_by_instance</vt:lpstr>
      <vt:lpstr>summary_overall</vt:lpstr>
      <vt:lpstr>planned_experiments</vt:lpstr>
      <vt:lpstr>errors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Fernando Martín Jara García</cp:lastModifiedBy>
  <dcterms:created xsi:type="dcterms:W3CDTF">2026-06-19T20:39:52Z</dcterms:created>
  <dcterms:modified xsi:type="dcterms:W3CDTF">2026-06-19T21:33:12Z</dcterms:modified>
</cp:coreProperties>
</file>