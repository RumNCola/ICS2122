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little/Desktop/CAPSTONE/Github repo/ICS2122/outputs/myopic_outputs/4375_kmh_sanalysis/"/>
    </mc:Choice>
  </mc:AlternateContent>
  <xr:revisionPtr revIDLastSave="0" documentId="13_ncr:40009_{A85C4177-5103-CE44-991F-FAC72BD70280}" xr6:coauthVersionLast="47" xr6:coauthVersionMax="47" xr10:uidLastSave="{00000000-0000-0000-0000-000000000000}"/>
  <bookViews>
    <workbookView xWindow="5940" yWindow="9740" windowWidth="27640" windowHeight="16940"/>
  </bookViews>
  <sheets>
    <sheet name="Camion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6" i="1" l="1"/>
  <c r="K6" i="1"/>
  <c r="J6" i="1"/>
  <c r="I6" i="1"/>
  <c r="H6" i="1"/>
  <c r="L5" i="1"/>
  <c r="K5" i="1"/>
  <c r="J5" i="1"/>
  <c r="I5" i="1"/>
  <c r="H5" i="1"/>
  <c r="L4" i="1"/>
  <c r="K4" i="1"/>
  <c r="J4" i="1"/>
  <c r="I4" i="1"/>
  <c r="H4" i="1"/>
</calcChain>
</file>

<file path=xl/sharedStrings.xml><?xml version="1.0" encoding="utf-8"?>
<sst xmlns="http://schemas.openxmlformats.org/spreadsheetml/2006/main" count="14" uniqueCount="13">
  <si>
    <t>Instancia</t>
  </si>
  <si>
    <t>replica</t>
  </si>
  <si>
    <t>U_relativa</t>
  </si>
  <si>
    <t>D_camiones</t>
  </si>
  <si>
    <t>I</t>
  </si>
  <si>
    <t>II</t>
  </si>
  <si>
    <t>III</t>
  </si>
  <si>
    <t>IV</t>
  </si>
  <si>
    <t>Todas</t>
  </si>
  <si>
    <t>Min(U)</t>
  </si>
  <si>
    <t>E(U)</t>
  </si>
  <si>
    <t>Max(U)</t>
  </si>
  <si>
    <t>Estadísticas Caso Base 43.75 km/hr desagregado por instancias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</si>
</sst>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workbookViewId="0">
      <selection activeCell="I10" sqref="I10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</row>
    <row r="2" spans="1:12" x14ac:dyDescent="0.2">
      <c r="A2">
        <v>0</v>
      </c>
      <c r="B2">
        <v>0</v>
      </c>
      <c r="C2">
        <v>0.74426229508196695</v>
      </c>
      <c r="D2">
        <v>658539.43999999994</v>
      </c>
      <c r="H2" t="s">
        <v>12</v>
      </c>
    </row>
    <row r="3" spans="1:12" x14ac:dyDescent="0.2">
      <c r="A3">
        <v>0</v>
      </c>
      <c r="B3">
        <v>1</v>
      </c>
      <c r="C3">
        <v>0.76158940397350905</v>
      </c>
      <c r="D3">
        <v>649934.9</v>
      </c>
      <c r="G3" t="s">
        <v>0</v>
      </c>
      <c r="H3" t="s">
        <v>4</v>
      </c>
      <c r="I3" t="s">
        <v>5</v>
      </c>
      <c r="J3" t="s">
        <v>6</v>
      </c>
      <c r="K3" t="s">
        <v>7</v>
      </c>
      <c r="L3" t="s">
        <v>8</v>
      </c>
    </row>
    <row r="4" spans="1:12" x14ac:dyDescent="0.2">
      <c r="A4">
        <v>0</v>
      </c>
      <c r="B4">
        <v>2</v>
      </c>
      <c r="C4">
        <v>0.67138810198300203</v>
      </c>
      <c r="D4">
        <v>665125.25</v>
      </c>
      <c r="G4" t="s">
        <v>9</v>
      </c>
      <c r="H4" s="1">
        <f>MIN($C$2:$C$11)</f>
        <v>0.63172804532577898</v>
      </c>
      <c r="I4" s="1">
        <f>MIN($C$12:$C$21)</f>
        <v>0.6</v>
      </c>
      <c r="J4" s="1">
        <f>MIN($C$22:$C$31)</f>
        <v>0.71925133689839504</v>
      </c>
      <c r="K4" s="1">
        <f>MIN($C$32:$C$41)</f>
        <v>0.70588235294117596</v>
      </c>
      <c r="L4" s="2">
        <f>MIN(C:C)</f>
        <v>0.6</v>
      </c>
    </row>
    <row r="5" spans="1:12" x14ac:dyDescent="0.2">
      <c r="A5">
        <v>0</v>
      </c>
      <c r="B5">
        <v>3</v>
      </c>
      <c r="C5">
        <v>0.65789473684210498</v>
      </c>
      <c r="D5">
        <v>656716.69999999995</v>
      </c>
      <c r="G5" t="s">
        <v>10</v>
      </c>
      <c r="H5" s="1">
        <f>AVERAGE($C$2:$C$11)</f>
        <v>0.71439120392910582</v>
      </c>
      <c r="I5" s="1">
        <f>AVERAGE($C$12:$C$21)</f>
        <v>0.64392427871197133</v>
      </c>
      <c r="J5" s="1">
        <f>AVERAGE($C$22:$C$31)</f>
        <v>0.76898675142779171</v>
      </c>
      <c r="K5" s="1">
        <f>AVERAGE($C$32:$C$41)</f>
        <v>0.73920861371254831</v>
      </c>
      <c r="L5" s="2">
        <f>AVERAGE(C:C)</f>
        <v>0.71662771194535446</v>
      </c>
    </row>
    <row r="6" spans="1:12" x14ac:dyDescent="0.2">
      <c r="A6">
        <v>0</v>
      </c>
      <c r="B6">
        <v>4</v>
      </c>
      <c r="C6">
        <v>0.70068027210884298</v>
      </c>
      <c r="D6">
        <v>685760.4</v>
      </c>
      <c r="G6" t="s">
        <v>11</v>
      </c>
      <c r="H6" s="1">
        <f>MAX($C$2:$C$11)</f>
        <v>0.79051383399209396</v>
      </c>
      <c r="I6" s="1">
        <f>MAX($C$12:$C$21)</f>
        <v>0.72929936305732401</v>
      </c>
      <c r="J6" s="1">
        <f>MAX($C$22:$C$31)</f>
        <v>0.83276450511945299</v>
      </c>
      <c r="K6" s="1">
        <f>MAX($C$32:$C$41)</f>
        <v>0.80204778156996503</v>
      </c>
      <c r="L6" s="2">
        <f>MAX(C:C)</f>
        <v>0.83276450511945299</v>
      </c>
    </row>
    <row r="7" spans="1:12" x14ac:dyDescent="0.2">
      <c r="A7">
        <v>0</v>
      </c>
      <c r="B7">
        <v>5</v>
      </c>
      <c r="C7">
        <v>0.702265372168284</v>
      </c>
      <c r="D7">
        <v>662079.69999999995</v>
      </c>
    </row>
    <row r="8" spans="1:12" x14ac:dyDescent="0.2">
      <c r="A8">
        <v>0</v>
      </c>
      <c r="B8">
        <v>6</v>
      </c>
      <c r="C8">
        <v>0.79051383399209396</v>
      </c>
      <c r="D8">
        <v>666331</v>
      </c>
    </row>
    <row r="9" spans="1:12" x14ac:dyDescent="0.2">
      <c r="A9">
        <v>0</v>
      </c>
      <c r="B9">
        <v>7</v>
      </c>
      <c r="C9">
        <v>0.63172804532577898</v>
      </c>
      <c r="D9">
        <v>664911.30000000005</v>
      </c>
    </row>
    <row r="10" spans="1:12" x14ac:dyDescent="0.2">
      <c r="A10">
        <v>0</v>
      </c>
      <c r="B10">
        <v>8</v>
      </c>
      <c r="C10">
        <v>0.75257731958762797</v>
      </c>
      <c r="D10">
        <v>679985.94</v>
      </c>
    </row>
    <row r="11" spans="1:12" x14ac:dyDescent="0.2">
      <c r="A11">
        <v>0</v>
      </c>
      <c r="B11">
        <v>9</v>
      </c>
      <c r="C11">
        <v>0.731012658227848</v>
      </c>
      <c r="D11">
        <v>672015.8</v>
      </c>
    </row>
    <row r="12" spans="1:12" x14ac:dyDescent="0.2">
      <c r="A12">
        <v>1</v>
      </c>
      <c r="B12">
        <v>0</v>
      </c>
      <c r="C12">
        <v>0.64444444444444404</v>
      </c>
      <c r="D12">
        <v>667242</v>
      </c>
    </row>
    <row r="13" spans="1:12" x14ac:dyDescent="0.2">
      <c r="A13">
        <v>1</v>
      </c>
      <c r="B13">
        <v>1</v>
      </c>
      <c r="C13">
        <v>0.68690095846645305</v>
      </c>
      <c r="D13">
        <v>635003.1</v>
      </c>
    </row>
    <row r="14" spans="1:12" x14ac:dyDescent="0.2">
      <c r="A14">
        <v>1</v>
      </c>
      <c r="B14">
        <v>2</v>
      </c>
      <c r="C14">
        <v>0.64462809917355302</v>
      </c>
      <c r="D14">
        <v>683365.25</v>
      </c>
    </row>
    <row r="15" spans="1:12" x14ac:dyDescent="0.2">
      <c r="A15">
        <v>1</v>
      </c>
      <c r="B15">
        <v>3</v>
      </c>
      <c r="C15">
        <v>0.61494252873563204</v>
      </c>
      <c r="D15">
        <v>663995.25</v>
      </c>
    </row>
    <row r="16" spans="1:12" x14ac:dyDescent="0.2">
      <c r="A16">
        <v>1</v>
      </c>
      <c r="B16">
        <v>4</v>
      </c>
      <c r="C16">
        <v>0.66272189349112398</v>
      </c>
      <c r="D16">
        <v>649895.69999999995</v>
      </c>
    </row>
    <row r="17" spans="1:4" x14ac:dyDescent="0.2">
      <c r="A17">
        <v>1</v>
      </c>
      <c r="B17">
        <v>5</v>
      </c>
      <c r="C17">
        <v>0.6</v>
      </c>
      <c r="D17">
        <v>705342.8</v>
      </c>
    </row>
    <row r="18" spans="1:4" x14ac:dyDescent="0.2">
      <c r="A18">
        <v>1</v>
      </c>
      <c r="B18">
        <v>6</v>
      </c>
      <c r="C18">
        <v>0.60830860534124598</v>
      </c>
      <c r="D18">
        <v>634097.1</v>
      </c>
    </row>
    <row r="19" spans="1:4" x14ac:dyDescent="0.2">
      <c r="A19">
        <v>1</v>
      </c>
      <c r="B19">
        <v>7</v>
      </c>
      <c r="C19">
        <v>0.625714285714285</v>
      </c>
      <c r="D19">
        <v>635030.6</v>
      </c>
    </row>
    <row r="20" spans="1:4" x14ac:dyDescent="0.2">
      <c r="A20">
        <v>1</v>
      </c>
      <c r="B20">
        <v>8</v>
      </c>
      <c r="C20">
        <v>0.622282608695652</v>
      </c>
      <c r="D20">
        <v>661560</v>
      </c>
    </row>
    <row r="21" spans="1:4" x14ac:dyDescent="0.2">
      <c r="A21">
        <v>1</v>
      </c>
      <c r="B21">
        <v>9</v>
      </c>
      <c r="C21">
        <v>0.72929936305732401</v>
      </c>
      <c r="D21">
        <v>622620.56000000006</v>
      </c>
    </row>
    <row r="22" spans="1:4" x14ac:dyDescent="0.2">
      <c r="A22">
        <v>2</v>
      </c>
      <c r="B22">
        <v>0</v>
      </c>
      <c r="C22">
        <v>0.77142857142857102</v>
      </c>
      <c r="D22">
        <v>623781.69999999995</v>
      </c>
    </row>
    <row r="23" spans="1:4" x14ac:dyDescent="0.2">
      <c r="A23">
        <v>2</v>
      </c>
      <c r="B23">
        <v>1</v>
      </c>
      <c r="C23">
        <v>0.78205128205128205</v>
      </c>
      <c r="D23">
        <v>593227.9</v>
      </c>
    </row>
    <row r="24" spans="1:4" x14ac:dyDescent="0.2">
      <c r="A24">
        <v>2</v>
      </c>
      <c r="B24">
        <v>2</v>
      </c>
      <c r="C24">
        <v>0.78678678678678604</v>
      </c>
      <c r="D24">
        <v>573945.59999999998</v>
      </c>
    </row>
    <row r="25" spans="1:4" x14ac:dyDescent="0.2">
      <c r="A25">
        <v>2</v>
      </c>
      <c r="B25">
        <v>3</v>
      </c>
      <c r="C25">
        <v>0.78637770897832804</v>
      </c>
      <c r="D25">
        <v>580430.5</v>
      </c>
    </row>
    <row r="26" spans="1:4" x14ac:dyDescent="0.2">
      <c r="A26">
        <v>2</v>
      </c>
      <c r="B26">
        <v>4</v>
      </c>
      <c r="C26">
        <v>0.71925133689839504</v>
      </c>
      <c r="D26">
        <v>637432.75</v>
      </c>
    </row>
    <row r="27" spans="1:4" x14ac:dyDescent="0.2">
      <c r="A27">
        <v>2</v>
      </c>
      <c r="B27">
        <v>5</v>
      </c>
      <c r="C27">
        <v>0.72067039106145203</v>
      </c>
      <c r="D27">
        <v>615268.9</v>
      </c>
    </row>
    <row r="28" spans="1:4" x14ac:dyDescent="0.2">
      <c r="A28">
        <v>2</v>
      </c>
      <c r="B28">
        <v>6</v>
      </c>
      <c r="C28">
        <v>0.83276450511945299</v>
      </c>
      <c r="D28">
        <v>626637.93999999994</v>
      </c>
    </row>
    <row r="29" spans="1:4" x14ac:dyDescent="0.2">
      <c r="A29">
        <v>2</v>
      </c>
      <c r="B29">
        <v>7</v>
      </c>
      <c r="C29">
        <v>0.77635782747603799</v>
      </c>
      <c r="D29">
        <v>595568.69999999995</v>
      </c>
    </row>
    <row r="30" spans="1:4" x14ac:dyDescent="0.2">
      <c r="A30">
        <v>2</v>
      </c>
      <c r="B30">
        <v>8</v>
      </c>
      <c r="C30">
        <v>0.75</v>
      </c>
      <c r="D30">
        <v>584791.5</v>
      </c>
    </row>
    <row r="31" spans="1:4" x14ac:dyDescent="0.2">
      <c r="A31">
        <v>2</v>
      </c>
      <c r="B31">
        <v>9</v>
      </c>
      <c r="C31">
        <v>0.76417910447761195</v>
      </c>
      <c r="D31">
        <v>576323.56000000006</v>
      </c>
    </row>
    <row r="32" spans="1:4" x14ac:dyDescent="0.2">
      <c r="A32">
        <v>3</v>
      </c>
      <c r="B32">
        <v>0</v>
      </c>
      <c r="C32">
        <v>0.75555555555555498</v>
      </c>
      <c r="D32">
        <v>583181.19999999995</v>
      </c>
    </row>
    <row r="33" spans="1:4" x14ac:dyDescent="0.2">
      <c r="A33">
        <v>3</v>
      </c>
      <c r="B33">
        <v>1</v>
      </c>
      <c r="C33">
        <v>0.72435897435897401</v>
      </c>
      <c r="D33">
        <v>603051</v>
      </c>
    </row>
    <row r="34" spans="1:4" x14ac:dyDescent="0.2">
      <c r="A34">
        <v>3</v>
      </c>
      <c r="B34">
        <v>2</v>
      </c>
      <c r="C34">
        <v>0.74774774774774699</v>
      </c>
      <c r="D34">
        <v>601514.4</v>
      </c>
    </row>
    <row r="35" spans="1:4" x14ac:dyDescent="0.2">
      <c r="A35">
        <v>3</v>
      </c>
      <c r="B35">
        <v>3</v>
      </c>
      <c r="C35">
        <v>0.73374613003095901</v>
      </c>
      <c r="D35">
        <v>622842.69999999995</v>
      </c>
    </row>
    <row r="36" spans="1:4" x14ac:dyDescent="0.2">
      <c r="A36">
        <v>3</v>
      </c>
      <c r="B36">
        <v>4</v>
      </c>
      <c r="C36">
        <v>0.70588235294117596</v>
      </c>
      <c r="D36">
        <v>586619.1</v>
      </c>
    </row>
    <row r="37" spans="1:4" x14ac:dyDescent="0.2">
      <c r="A37">
        <v>3</v>
      </c>
      <c r="B37">
        <v>5</v>
      </c>
      <c r="C37">
        <v>0.71229050279329598</v>
      </c>
      <c r="D37">
        <v>622375.06000000006</v>
      </c>
    </row>
    <row r="38" spans="1:4" x14ac:dyDescent="0.2">
      <c r="A38">
        <v>3</v>
      </c>
      <c r="B38">
        <v>6</v>
      </c>
      <c r="C38">
        <v>0.80204778156996503</v>
      </c>
      <c r="D38">
        <v>629491.43999999994</v>
      </c>
    </row>
    <row r="39" spans="1:4" x14ac:dyDescent="0.2">
      <c r="A39">
        <v>3</v>
      </c>
      <c r="B39">
        <v>7</v>
      </c>
      <c r="C39">
        <v>0.76038338658146898</v>
      </c>
      <c r="D39">
        <v>612902.43999999994</v>
      </c>
    </row>
    <row r="40" spans="1:4" x14ac:dyDescent="0.2">
      <c r="A40">
        <v>3</v>
      </c>
      <c r="B40">
        <v>8</v>
      </c>
      <c r="C40">
        <v>0.70679012345679004</v>
      </c>
      <c r="D40">
        <v>584418.4</v>
      </c>
    </row>
    <row r="41" spans="1:4" x14ac:dyDescent="0.2">
      <c r="A41">
        <v>3</v>
      </c>
      <c r="B41">
        <v>9</v>
      </c>
      <c r="C41">
        <v>0.74328358208955203</v>
      </c>
      <c r="D41">
        <v>571128.25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CamionSummary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2026-06-27T17:47:35Z</dcterms:created>
  <dcterms:modified xsi:type="dcterms:W3CDTF">2026-06-27T17:47:47Z</dcterms:modified>
</cp:coreProperties>
</file>