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25_kmh_sanalysis/"/>
    </mc:Choice>
  </mc:AlternateContent>
  <xr:revisionPtr revIDLastSave="0" documentId="13_ncr:40009_{B916E351-530D-0249-A18D-060DB16BE718}" xr6:coauthVersionLast="47" xr6:coauthVersionMax="47" xr10:uidLastSave="{00000000-0000-0000-0000-000000000000}"/>
  <bookViews>
    <workbookView xWindow="9640" yWindow="1380" windowWidth="27640" windowHeight="16940"/>
  </bookViews>
  <sheets>
    <sheet name="Camion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" i="1" l="1"/>
  <c r="K8" i="1"/>
  <c r="J8" i="1"/>
  <c r="I8" i="1"/>
  <c r="H8" i="1"/>
  <c r="L7" i="1"/>
  <c r="K7" i="1"/>
  <c r="J7" i="1"/>
  <c r="I7" i="1"/>
  <c r="H7" i="1"/>
  <c r="L6" i="1"/>
  <c r="K6" i="1"/>
  <c r="J6" i="1"/>
  <c r="I6" i="1"/>
  <c r="H6" i="1"/>
</calcChain>
</file>

<file path=xl/sharedStrings.xml><?xml version="1.0" encoding="utf-8"?>
<sst xmlns="http://schemas.openxmlformats.org/spreadsheetml/2006/main" count="14" uniqueCount="13">
  <si>
    <t>Instancia</t>
  </si>
  <si>
    <t>replica</t>
  </si>
  <si>
    <t>U_relativa</t>
  </si>
  <si>
    <t>D_camiones</t>
  </si>
  <si>
    <t>I</t>
  </si>
  <si>
    <t>II</t>
  </si>
  <si>
    <t>III</t>
  </si>
  <si>
    <t>IV</t>
  </si>
  <si>
    <t>Todas</t>
  </si>
  <si>
    <t>Min(U)</t>
  </si>
  <si>
    <t>E(U)</t>
  </si>
  <si>
    <t>Max(U)</t>
  </si>
  <si>
    <t>Estadísticas Caso Base 25 km/hr desagregado por instancias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</si>
</sst>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workbookViewId="0">
      <selection activeCell="G16" sqref="G1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</row>
    <row r="2" spans="1:12" x14ac:dyDescent="0.2">
      <c r="A2">
        <v>0</v>
      </c>
      <c r="B2">
        <v>0</v>
      </c>
      <c r="C2">
        <v>0.50163934426229495</v>
      </c>
      <c r="D2">
        <v>446956.5</v>
      </c>
    </row>
    <row r="3" spans="1:12" x14ac:dyDescent="0.2">
      <c r="A3">
        <v>0</v>
      </c>
      <c r="B3">
        <v>1</v>
      </c>
      <c r="C3">
        <v>0.54304635761589404</v>
      </c>
      <c r="D3">
        <v>419766.88</v>
      </c>
    </row>
    <row r="4" spans="1:12" x14ac:dyDescent="0.2">
      <c r="A4">
        <v>0</v>
      </c>
      <c r="B4">
        <v>2</v>
      </c>
      <c r="C4">
        <v>0.49008498583569399</v>
      </c>
      <c r="D4">
        <v>406878.7</v>
      </c>
      <c r="H4" t="s">
        <v>12</v>
      </c>
    </row>
    <row r="5" spans="1:12" x14ac:dyDescent="0.2">
      <c r="A5">
        <v>0</v>
      </c>
      <c r="B5">
        <v>3</v>
      </c>
      <c r="C5">
        <v>0.45614035087719201</v>
      </c>
      <c r="D5">
        <v>440974.53</v>
      </c>
      <c r="G5" t="s">
        <v>0</v>
      </c>
      <c r="H5" t="s">
        <v>4</v>
      </c>
      <c r="I5" t="s">
        <v>5</v>
      </c>
      <c r="J5" t="s">
        <v>6</v>
      </c>
      <c r="K5" t="s">
        <v>7</v>
      </c>
      <c r="L5" t="s">
        <v>8</v>
      </c>
    </row>
    <row r="6" spans="1:12" x14ac:dyDescent="0.2">
      <c r="A6">
        <v>0</v>
      </c>
      <c r="B6">
        <v>4</v>
      </c>
      <c r="C6">
        <v>0.45918367346938699</v>
      </c>
      <c r="D6">
        <v>425608.78</v>
      </c>
      <c r="G6" t="s">
        <v>9</v>
      </c>
      <c r="H6" s="1">
        <f>MIN($C$2:$C$11)</f>
        <v>0.45614035087719201</v>
      </c>
      <c r="I6" s="1">
        <f>MIN($C$12:$C$21)</f>
        <v>0.406528189910979</v>
      </c>
      <c r="J6" s="1">
        <f>MIN($C$22:$C$31)</f>
        <v>0.48916408668730599</v>
      </c>
      <c r="K6" s="1">
        <f>MIN($C$32:$C$41)</f>
        <v>0.50464396284829705</v>
      </c>
      <c r="L6" s="2">
        <f>MIN(C:C)</f>
        <v>0.406528189910979</v>
      </c>
    </row>
    <row r="7" spans="1:12" x14ac:dyDescent="0.2">
      <c r="A7">
        <v>0</v>
      </c>
      <c r="B7">
        <v>5</v>
      </c>
      <c r="C7">
        <v>0.485436893203883</v>
      </c>
      <c r="D7">
        <v>446503.56</v>
      </c>
      <c r="G7" t="s">
        <v>10</v>
      </c>
      <c r="H7" s="1">
        <f>AVERAGE($C$2:$C$11)</f>
        <v>0.50042413845837719</v>
      </c>
      <c r="I7" s="1">
        <f>AVERAGE($C$12:$C$21)</f>
        <v>0.44331031046592645</v>
      </c>
      <c r="J7" s="1">
        <f>AVERAGE($C$22:$C$31)</f>
        <v>0.55191596064403914</v>
      </c>
      <c r="K7" s="1">
        <f>AVERAGE($C$32:$C$41)</f>
        <v>0.52768605147134318</v>
      </c>
      <c r="L7" s="2">
        <f>AVERAGE(C:C)</f>
        <v>0.50583411525992161</v>
      </c>
    </row>
    <row r="8" spans="1:12" x14ac:dyDescent="0.2">
      <c r="A8">
        <v>0</v>
      </c>
      <c r="B8">
        <v>6</v>
      </c>
      <c r="C8">
        <v>0.52569169960474305</v>
      </c>
      <c r="D8">
        <v>451184.44</v>
      </c>
      <c r="G8" t="s">
        <v>11</v>
      </c>
      <c r="H8" s="1">
        <f>MAX($C$2:$C$11)</f>
        <v>0.54304635761589404</v>
      </c>
      <c r="I8" s="1">
        <f>MAX($C$12:$C$21)</f>
        <v>0.48089171974522199</v>
      </c>
      <c r="J8" s="1">
        <f>MAX($C$22:$C$31)</f>
        <v>0.594249201277955</v>
      </c>
      <c r="K8" s="1">
        <f>MAX($C$32:$C$41)</f>
        <v>0.55290102389078499</v>
      </c>
      <c r="L8" s="2">
        <f>MAX(C:C)</f>
        <v>0.594249201277955</v>
      </c>
    </row>
    <row r="9" spans="1:12" x14ac:dyDescent="0.2">
      <c r="A9">
        <v>0</v>
      </c>
      <c r="B9">
        <v>7</v>
      </c>
      <c r="C9">
        <v>0.45892351274787502</v>
      </c>
      <c r="D9">
        <v>427713.88</v>
      </c>
    </row>
    <row r="10" spans="1:12" x14ac:dyDescent="0.2">
      <c r="A10">
        <v>0</v>
      </c>
      <c r="B10">
        <v>8</v>
      </c>
      <c r="C10">
        <v>0.54295532646048095</v>
      </c>
      <c r="D10">
        <v>445747.94</v>
      </c>
    </row>
    <row r="11" spans="1:12" x14ac:dyDescent="0.2">
      <c r="A11">
        <v>0</v>
      </c>
      <c r="B11">
        <v>9</v>
      </c>
      <c r="C11">
        <v>0.541139240506329</v>
      </c>
      <c r="D11">
        <v>441828.94</v>
      </c>
    </row>
    <row r="12" spans="1:12" x14ac:dyDescent="0.2">
      <c r="A12">
        <v>1</v>
      </c>
      <c r="B12">
        <v>0</v>
      </c>
      <c r="C12">
        <v>0.47936507936507899</v>
      </c>
      <c r="D12">
        <v>439831.7</v>
      </c>
    </row>
    <row r="13" spans="1:12" x14ac:dyDescent="0.2">
      <c r="A13">
        <v>1</v>
      </c>
      <c r="B13">
        <v>1</v>
      </c>
      <c r="C13">
        <v>0.47923322683705999</v>
      </c>
      <c r="D13">
        <v>425892</v>
      </c>
    </row>
    <row r="14" spans="1:12" x14ac:dyDescent="0.2">
      <c r="A14">
        <v>1</v>
      </c>
      <c r="B14">
        <v>2</v>
      </c>
      <c r="C14">
        <v>0.44077134986225802</v>
      </c>
      <c r="D14">
        <v>451724.75</v>
      </c>
    </row>
    <row r="15" spans="1:12" x14ac:dyDescent="0.2">
      <c r="A15">
        <v>1</v>
      </c>
      <c r="B15">
        <v>3</v>
      </c>
      <c r="C15">
        <v>0.428160919540229</v>
      </c>
      <c r="D15">
        <v>418870.75</v>
      </c>
    </row>
    <row r="16" spans="1:12" x14ac:dyDescent="0.2">
      <c r="A16">
        <v>1</v>
      </c>
      <c r="B16">
        <v>4</v>
      </c>
      <c r="C16">
        <v>0.43786982248520701</v>
      </c>
      <c r="D16">
        <v>441140.22</v>
      </c>
    </row>
    <row r="17" spans="1:4" x14ac:dyDescent="0.2">
      <c r="A17">
        <v>1</v>
      </c>
      <c r="B17">
        <v>5</v>
      </c>
      <c r="C17">
        <v>0.42424242424242398</v>
      </c>
      <c r="D17">
        <v>458049.25</v>
      </c>
    </row>
    <row r="18" spans="1:4" x14ac:dyDescent="0.2">
      <c r="A18">
        <v>1</v>
      </c>
      <c r="B18">
        <v>6</v>
      </c>
      <c r="C18">
        <v>0.406528189910979</v>
      </c>
      <c r="D18">
        <v>418620.38</v>
      </c>
    </row>
    <row r="19" spans="1:4" x14ac:dyDescent="0.2">
      <c r="A19">
        <v>1</v>
      </c>
      <c r="B19">
        <v>7</v>
      </c>
      <c r="C19">
        <v>0.44571428571428501</v>
      </c>
      <c r="D19">
        <v>437895.62</v>
      </c>
    </row>
    <row r="20" spans="1:4" x14ac:dyDescent="0.2">
      <c r="A20">
        <v>1</v>
      </c>
      <c r="B20">
        <v>8</v>
      </c>
      <c r="C20">
        <v>0.41032608695652101</v>
      </c>
      <c r="D20">
        <v>459167.3</v>
      </c>
    </row>
    <row r="21" spans="1:4" x14ac:dyDescent="0.2">
      <c r="A21">
        <v>1</v>
      </c>
      <c r="B21">
        <v>9</v>
      </c>
      <c r="C21">
        <v>0.48089171974522199</v>
      </c>
      <c r="D21">
        <v>422502.25</v>
      </c>
    </row>
    <row r="22" spans="1:4" x14ac:dyDescent="0.2">
      <c r="A22">
        <v>2</v>
      </c>
      <c r="B22">
        <v>0</v>
      </c>
      <c r="C22">
        <v>0.57460317460317401</v>
      </c>
      <c r="D22">
        <v>384565.66</v>
      </c>
    </row>
    <row r="23" spans="1:4" x14ac:dyDescent="0.2">
      <c r="A23">
        <v>2</v>
      </c>
      <c r="B23">
        <v>1</v>
      </c>
      <c r="C23">
        <v>0.52243589743589702</v>
      </c>
      <c r="D23">
        <v>421109.44</v>
      </c>
    </row>
    <row r="24" spans="1:4" x14ac:dyDescent="0.2">
      <c r="A24">
        <v>2</v>
      </c>
      <c r="B24">
        <v>2</v>
      </c>
      <c r="C24">
        <v>0.51951951951951902</v>
      </c>
      <c r="D24">
        <v>404893.56</v>
      </c>
    </row>
    <row r="25" spans="1:4" x14ac:dyDescent="0.2">
      <c r="A25">
        <v>2</v>
      </c>
      <c r="B25">
        <v>3</v>
      </c>
      <c r="C25">
        <v>0.48916408668730599</v>
      </c>
      <c r="D25">
        <v>395269.2</v>
      </c>
    </row>
    <row r="26" spans="1:4" x14ac:dyDescent="0.2">
      <c r="A26">
        <v>2</v>
      </c>
      <c r="B26">
        <v>4</v>
      </c>
      <c r="C26">
        <v>0.54812834224598905</v>
      </c>
      <c r="D26">
        <v>416120.25</v>
      </c>
    </row>
    <row r="27" spans="1:4" x14ac:dyDescent="0.2">
      <c r="A27">
        <v>2</v>
      </c>
      <c r="B27">
        <v>5</v>
      </c>
      <c r="C27">
        <v>0.53072625698324005</v>
      </c>
      <c r="D27">
        <v>400234.66</v>
      </c>
    </row>
    <row r="28" spans="1:4" x14ac:dyDescent="0.2">
      <c r="A28">
        <v>2</v>
      </c>
      <c r="B28">
        <v>6</v>
      </c>
      <c r="C28">
        <v>0.59044368600682595</v>
      </c>
      <c r="D28">
        <v>409805.88</v>
      </c>
    </row>
    <row r="29" spans="1:4" x14ac:dyDescent="0.2">
      <c r="A29">
        <v>2</v>
      </c>
      <c r="B29">
        <v>7</v>
      </c>
      <c r="C29">
        <v>0.594249201277955</v>
      </c>
      <c r="D29">
        <v>398165.9</v>
      </c>
    </row>
    <row r="30" spans="1:4" x14ac:dyDescent="0.2">
      <c r="A30">
        <v>2</v>
      </c>
      <c r="B30">
        <v>8</v>
      </c>
      <c r="C30">
        <v>0.56481481481481399</v>
      </c>
      <c r="D30">
        <v>380778.7</v>
      </c>
    </row>
    <row r="31" spans="1:4" x14ac:dyDescent="0.2">
      <c r="A31">
        <v>2</v>
      </c>
      <c r="B31">
        <v>9</v>
      </c>
      <c r="C31">
        <v>0.58507462686567102</v>
      </c>
      <c r="D31">
        <v>380798.71999999997</v>
      </c>
    </row>
    <row r="32" spans="1:4" x14ac:dyDescent="0.2">
      <c r="A32">
        <v>3</v>
      </c>
      <c r="B32">
        <v>0</v>
      </c>
      <c r="C32">
        <v>0.53968253968253899</v>
      </c>
      <c r="D32">
        <v>399650.44</v>
      </c>
    </row>
    <row r="33" spans="1:4" x14ac:dyDescent="0.2">
      <c r="A33">
        <v>3</v>
      </c>
      <c r="B33">
        <v>1</v>
      </c>
      <c r="C33">
        <v>0.52243589743589702</v>
      </c>
      <c r="D33">
        <v>402505.75</v>
      </c>
    </row>
    <row r="34" spans="1:4" x14ac:dyDescent="0.2">
      <c r="A34">
        <v>3</v>
      </c>
      <c r="B34">
        <v>2</v>
      </c>
      <c r="C34">
        <v>0.51651651651651598</v>
      </c>
      <c r="D34">
        <v>436953.78</v>
      </c>
    </row>
    <row r="35" spans="1:4" x14ac:dyDescent="0.2">
      <c r="A35">
        <v>3</v>
      </c>
      <c r="B35">
        <v>3</v>
      </c>
      <c r="C35">
        <v>0.50464396284829705</v>
      </c>
      <c r="D35">
        <v>412369.8</v>
      </c>
    </row>
    <row r="36" spans="1:4" x14ac:dyDescent="0.2">
      <c r="A36">
        <v>3</v>
      </c>
      <c r="B36">
        <v>4</v>
      </c>
      <c r="C36">
        <v>0.52673796791443805</v>
      </c>
      <c r="D36">
        <v>367138.3</v>
      </c>
    </row>
    <row r="37" spans="1:4" x14ac:dyDescent="0.2">
      <c r="A37">
        <v>3</v>
      </c>
      <c r="B37">
        <v>5</v>
      </c>
      <c r="C37">
        <v>0.533519553072625</v>
      </c>
      <c r="D37">
        <v>388445.97</v>
      </c>
    </row>
    <row r="38" spans="1:4" x14ac:dyDescent="0.2">
      <c r="A38">
        <v>3</v>
      </c>
      <c r="B38">
        <v>6</v>
      </c>
      <c r="C38">
        <v>0.55290102389078499</v>
      </c>
      <c r="D38">
        <v>426043.25</v>
      </c>
    </row>
    <row r="39" spans="1:4" x14ac:dyDescent="0.2">
      <c r="A39">
        <v>3</v>
      </c>
      <c r="B39">
        <v>7</v>
      </c>
      <c r="C39">
        <v>0.53354632587859396</v>
      </c>
      <c r="D39">
        <v>422791.44</v>
      </c>
    </row>
    <row r="40" spans="1:4" x14ac:dyDescent="0.2">
      <c r="A40">
        <v>3</v>
      </c>
      <c r="B40">
        <v>8</v>
      </c>
      <c r="C40">
        <v>0.51851851851851805</v>
      </c>
      <c r="D40">
        <v>417532.97</v>
      </c>
    </row>
    <row r="41" spans="1:4" x14ac:dyDescent="0.2">
      <c r="A41">
        <v>3</v>
      </c>
      <c r="B41">
        <v>9</v>
      </c>
      <c r="C41">
        <v>0.52835820895522301</v>
      </c>
      <c r="D41">
        <v>406436.1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CamionSummary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2026-06-27T17:51:06Z</dcterms:created>
  <dcterms:modified xsi:type="dcterms:W3CDTF">2026-06-27T17:51:31Z</dcterms:modified>
</cp:coreProperties>
</file>