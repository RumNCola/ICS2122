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c6_3_pkups3_dlvrs_sanalysis/"/>
    </mc:Choice>
  </mc:AlternateContent>
  <xr:revisionPtr revIDLastSave="0" documentId="13_ncr:40009_{817BD48F-6883-094F-BB80-24AC1535C071}" xr6:coauthVersionLast="47" xr6:coauthVersionMax="47" xr10:uidLastSave="{00000000-0000-0000-0000-000000000000}"/>
  <bookViews>
    <workbookView xWindow="5380" yWindow="8640" windowWidth="28040" windowHeight="17440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J5" i="1"/>
  <c r="I5" i="1"/>
  <c r="H5" i="1"/>
  <c r="G5" i="1"/>
  <c r="F5" i="1"/>
  <c r="J4" i="1"/>
  <c r="I4" i="1"/>
  <c r="H4" i="1"/>
  <c r="G4" i="1"/>
  <c r="F4" i="1"/>
</calcChain>
</file>

<file path=xl/sharedStrings.xml><?xml version="1.0" encoding="utf-8"?>
<sst xmlns="http://schemas.openxmlformats.org/spreadsheetml/2006/main" count="13" uniqueCount="12">
  <si>
    <t>Instancia</t>
  </si>
  <si>
    <t>replica</t>
  </si>
  <si>
    <t>U_relativa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</si>
  <si>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</si>
  <si>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</si>
  <si>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</si>
  <si>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</si>
  <si>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</si>
  <si>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</si>
  <si>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</si>
  <si>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</si>
  <si>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3 deliveries, 3 pickups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</si>
</sst>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H9" sqref="H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>
        <v>0</v>
      </c>
      <c r="B2">
        <v>0</v>
      </c>
      <c r="C2">
        <v>0.727868852459016</v>
      </c>
      <c r="F2" t="s">
        <v>11</v>
      </c>
    </row>
    <row r="3" spans="1:10" x14ac:dyDescent="0.2">
      <c r="A3">
        <v>0</v>
      </c>
      <c r="B3">
        <v>1</v>
      </c>
      <c r="C3">
        <v>0.79139072847682101</v>
      </c>
      <c r="E3" t="s">
        <v>0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2">
      <c r="A4">
        <v>0</v>
      </c>
      <c r="B4">
        <v>2</v>
      </c>
      <c r="C4">
        <v>0.71388101983002805</v>
      </c>
      <c r="E4" t="s">
        <v>8</v>
      </c>
      <c r="F4" s="1">
        <f>MIN($C$2:$C$11)</f>
        <v>0.69298245614035003</v>
      </c>
      <c r="G4" s="1">
        <f>MIN($C$12:$C$21)</f>
        <v>0.59510869565217395</v>
      </c>
      <c r="H4" s="1">
        <f>MIN($C$22:$C$31)</f>
        <v>0.71826625386996901</v>
      </c>
      <c r="I4" s="1">
        <f>MIN($C$32:$C$41)</f>
        <v>0.71787709497206698</v>
      </c>
      <c r="J4" s="2">
        <f>MIN($C:$C)</f>
        <v>0.59510869565217395</v>
      </c>
    </row>
    <row r="5" spans="1:10" x14ac:dyDescent="0.2">
      <c r="A5">
        <v>0</v>
      </c>
      <c r="B5">
        <v>3</v>
      </c>
      <c r="C5">
        <v>0.69298245614035003</v>
      </c>
      <c r="E5" t="s">
        <v>9</v>
      </c>
      <c r="F5" s="1">
        <f>AVERAGE($C$2:$C$11)</f>
        <v>0.74279180991984339</v>
      </c>
      <c r="G5" s="1">
        <f>AVERAGE($C$12:$C$21)</f>
        <v>0.65132252603166063</v>
      </c>
      <c r="H5" s="1">
        <f>AVERAGE($C$22:$C$31)</f>
        <v>0.77325024985558022</v>
      </c>
      <c r="I5" s="1">
        <f>AVERAGE($C$32:$C$41)</f>
        <v>0.75404112525422318</v>
      </c>
      <c r="J5" s="2">
        <f>AVERAGE($C:$C)</f>
        <v>0.7303514277653268</v>
      </c>
    </row>
    <row r="6" spans="1:10" x14ac:dyDescent="0.2">
      <c r="A6">
        <v>0</v>
      </c>
      <c r="B6">
        <v>4</v>
      </c>
      <c r="C6">
        <v>0.73129251700680198</v>
      </c>
      <c r="E6" t="s">
        <v>10</v>
      </c>
      <c r="F6" s="1">
        <f>MAX($C$2:$C$11)</f>
        <v>0.79725085910652904</v>
      </c>
      <c r="G6" s="1">
        <f>MAX($C$12:$C$21)</f>
        <v>0.69329073482428105</v>
      </c>
      <c r="H6" s="1">
        <f>MAX($C$22:$C$31)</f>
        <v>0.85665529010238906</v>
      </c>
      <c r="I6" s="1">
        <f>MAX($C$32:$C$41)</f>
        <v>0.80546075085324198</v>
      </c>
      <c r="J6" s="2">
        <f>MAX($C:$C)</f>
        <v>0.85665529010238906</v>
      </c>
    </row>
    <row r="7" spans="1:10" x14ac:dyDescent="0.2">
      <c r="A7">
        <v>0</v>
      </c>
      <c r="B7">
        <v>5</v>
      </c>
      <c r="C7">
        <v>0.75080906148867299</v>
      </c>
    </row>
    <row r="8" spans="1:10" x14ac:dyDescent="0.2">
      <c r="A8">
        <v>0</v>
      </c>
      <c r="B8">
        <v>6</v>
      </c>
      <c r="C8">
        <v>0.75889328063241102</v>
      </c>
    </row>
    <row r="9" spans="1:10" x14ac:dyDescent="0.2">
      <c r="A9">
        <v>0</v>
      </c>
      <c r="B9">
        <v>7</v>
      </c>
      <c r="C9">
        <v>0.71671388101983002</v>
      </c>
    </row>
    <row r="10" spans="1:10" x14ac:dyDescent="0.2">
      <c r="A10">
        <v>0</v>
      </c>
      <c r="B10">
        <v>8</v>
      </c>
      <c r="C10">
        <v>0.79725085910652904</v>
      </c>
    </row>
    <row r="11" spans="1:10" x14ac:dyDescent="0.2">
      <c r="A11">
        <v>0</v>
      </c>
      <c r="B11">
        <v>9</v>
      </c>
      <c r="C11">
        <v>0.746835443037974</v>
      </c>
    </row>
    <row r="12" spans="1:10" x14ac:dyDescent="0.2">
      <c r="A12">
        <v>1</v>
      </c>
      <c r="B12">
        <v>0</v>
      </c>
      <c r="C12">
        <v>0.682539682539682</v>
      </c>
    </row>
    <row r="13" spans="1:10" x14ac:dyDescent="0.2">
      <c r="A13">
        <v>1</v>
      </c>
      <c r="B13">
        <v>1</v>
      </c>
      <c r="C13">
        <v>0.69329073482428105</v>
      </c>
    </row>
    <row r="14" spans="1:10" x14ac:dyDescent="0.2">
      <c r="A14">
        <v>1</v>
      </c>
      <c r="B14">
        <v>2</v>
      </c>
      <c r="C14">
        <v>0.65289256198347101</v>
      </c>
    </row>
    <row r="15" spans="1:10" x14ac:dyDescent="0.2">
      <c r="A15">
        <v>1</v>
      </c>
      <c r="B15">
        <v>3</v>
      </c>
      <c r="C15">
        <v>0.64080459770114895</v>
      </c>
    </row>
    <row r="16" spans="1:10" x14ac:dyDescent="0.2">
      <c r="A16">
        <v>1</v>
      </c>
      <c r="B16">
        <v>4</v>
      </c>
      <c r="C16">
        <v>0.66568047337278102</v>
      </c>
    </row>
    <row r="17" spans="1:3" x14ac:dyDescent="0.2">
      <c r="A17">
        <v>1</v>
      </c>
      <c r="B17">
        <v>5</v>
      </c>
      <c r="C17">
        <v>0.65151515151515105</v>
      </c>
    </row>
    <row r="18" spans="1:3" x14ac:dyDescent="0.2">
      <c r="A18">
        <v>1</v>
      </c>
      <c r="B18">
        <v>6</v>
      </c>
      <c r="C18">
        <v>0.63501483679525195</v>
      </c>
    </row>
    <row r="19" spans="1:3" x14ac:dyDescent="0.2">
      <c r="A19">
        <v>1</v>
      </c>
      <c r="B19">
        <v>7</v>
      </c>
      <c r="C19">
        <v>0.63714285714285701</v>
      </c>
    </row>
    <row r="20" spans="1:3" x14ac:dyDescent="0.2">
      <c r="A20">
        <v>1</v>
      </c>
      <c r="B20">
        <v>8</v>
      </c>
      <c r="C20">
        <v>0.59510869565217395</v>
      </c>
    </row>
    <row r="21" spans="1:3" x14ac:dyDescent="0.2">
      <c r="A21">
        <v>1</v>
      </c>
      <c r="B21">
        <v>9</v>
      </c>
      <c r="C21">
        <v>0.65923566878980799</v>
      </c>
    </row>
    <row r="22" spans="1:3" x14ac:dyDescent="0.2">
      <c r="A22">
        <v>2</v>
      </c>
      <c r="B22">
        <v>0</v>
      </c>
      <c r="C22">
        <v>0.77460317460317396</v>
      </c>
    </row>
    <row r="23" spans="1:3" x14ac:dyDescent="0.2">
      <c r="A23">
        <v>2</v>
      </c>
      <c r="B23">
        <v>1</v>
      </c>
      <c r="C23">
        <v>0.75320512820512797</v>
      </c>
    </row>
    <row r="24" spans="1:3" x14ac:dyDescent="0.2">
      <c r="A24">
        <v>2</v>
      </c>
      <c r="B24">
        <v>2</v>
      </c>
      <c r="C24">
        <v>0.76576576576576505</v>
      </c>
    </row>
    <row r="25" spans="1:3" x14ac:dyDescent="0.2">
      <c r="A25">
        <v>2</v>
      </c>
      <c r="B25">
        <v>3</v>
      </c>
      <c r="C25">
        <v>0.71826625386996901</v>
      </c>
    </row>
    <row r="26" spans="1:3" x14ac:dyDescent="0.2">
      <c r="A26">
        <v>2</v>
      </c>
      <c r="B26">
        <v>4</v>
      </c>
      <c r="C26">
        <v>0.76470588235294101</v>
      </c>
    </row>
    <row r="27" spans="1:3" x14ac:dyDescent="0.2">
      <c r="A27">
        <v>2</v>
      </c>
      <c r="B27">
        <v>5</v>
      </c>
      <c r="C27">
        <v>0.77374301675977597</v>
      </c>
    </row>
    <row r="28" spans="1:3" x14ac:dyDescent="0.2">
      <c r="A28">
        <v>2</v>
      </c>
      <c r="B28">
        <v>6</v>
      </c>
      <c r="C28">
        <v>0.85665529010238906</v>
      </c>
    </row>
    <row r="29" spans="1:3" x14ac:dyDescent="0.2">
      <c r="A29">
        <v>2</v>
      </c>
      <c r="B29">
        <v>7</v>
      </c>
      <c r="C29">
        <v>0.801916932907348</v>
      </c>
    </row>
    <row r="30" spans="1:3" x14ac:dyDescent="0.2">
      <c r="A30">
        <v>2</v>
      </c>
      <c r="B30">
        <v>8</v>
      </c>
      <c r="C30">
        <v>0.76543209876543195</v>
      </c>
    </row>
    <row r="31" spans="1:3" x14ac:dyDescent="0.2">
      <c r="A31">
        <v>2</v>
      </c>
      <c r="B31">
        <v>9</v>
      </c>
      <c r="C31">
        <v>0.75820895522387999</v>
      </c>
    </row>
    <row r="32" spans="1:3" x14ac:dyDescent="0.2">
      <c r="A32">
        <v>3</v>
      </c>
      <c r="B32">
        <v>0</v>
      </c>
      <c r="C32">
        <v>0.77460317460317396</v>
      </c>
    </row>
    <row r="33" spans="1:3" x14ac:dyDescent="0.2">
      <c r="A33">
        <v>3</v>
      </c>
      <c r="B33">
        <v>1</v>
      </c>
      <c r="C33">
        <v>0.75320512820512797</v>
      </c>
    </row>
    <row r="34" spans="1:3" x14ac:dyDescent="0.2">
      <c r="A34">
        <v>3</v>
      </c>
      <c r="B34">
        <v>2</v>
      </c>
      <c r="C34">
        <v>0.73573573573573503</v>
      </c>
    </row>
    <row r="35" spans="1:3" x14ac:dyDescent="0.2">
      <c r="A35">
        <v>3</v>
      </c>
      <c r="B35">
        <v>3</v>
      </c>
      <c r="C35">
        <v>0.73684210526315697</v>
      </c>
    </row>
    <row r="36" spans="1:3" x14ac:dyDescent="0.2">
      <c r="A36">
        <v>3</v>
      </c>
      <c r="B36">
        <v>4</v>
      </c>
      <c r="C36">
        <v>0.73796791443850196</v>
      </c>
    </row>
    <row r="37" spans="1:3" x14ac:dyDescent="0.2">
      <c r="A37">
        <v>3</v>
      </c>
      <c r="B37">
        <v>5</v>
      </c>
      <c r="C37">
        <v>0.71787709497206698</v>
      </c>
    </row>
    <row r="38" spans="1:3" x14ac:dyDescent="0.2">
      <c r="A38">
        <v>3</v>
      </c>
      <c r="B38">
        <v>6</v>
      </c>
      <c r="C38">
        <v>0.80546075085324198</v>
      </c>
    </row>
    <row r="39" spans="1:3" x14ac:dyDescent="0.2">
      <c r="A39">
        <v>3</v>
      </c>
      <c r="B39">
        <v>7</v>
      </c>
      <c r="C39">
        <v>0.78594249201277899</v>
      </c>
    </row>
    <row r="40" spans="1:3" x14ac:dyDescent="0.2">
      <c r="A40">
        <v>3</v>
      </c>
      <c r="B40">
        <v>8</v>
      </c>
      <c r="C40">
        <v>0.73456790123456694</v>
      </c>
    </row>
    <row r="41" spans="1:3" x14ac:dyDescent="0.2">
      <c r="A41">
        <v>3</v>
      </c>
      <c r="B41">
        <v>9</v>
      </c>
      <c r="C41">
        <v>0.75820895522387999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2026-06-27T18:44:05Z</dcterms:created>
  <dcterms:modified xsi:type="dcterms:W3CDTF">2026-06-27T18:48:26Z</dcterms:modified>
</cp:coreProperties>
</file>