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3125_kmh_sanalysis/"/>
    </mc:Choice>
  </mc:AlternateContent>
  <xr:revisionPtr revIDLastSave="0" documentId="13_ncr:1_{8B38FF0F-1950-C74A-9E70-0D8C21C1BBB0}" xr6:coauthVersionLast="47" xr6:coauthVersionMax="47" xr10:uidLastSave="{00000000-0000-0000-0000-000000000000}"/>
  <bookViews>
    <workbookView xWindow="3660" yWindow="2660" windowWidth="27640" windowHeight="16940" xr2:uid="{00000000-000D-0000-FFFF-FFFF00000000}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1" l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</calcChain>
</file>

<file path=xl/sharedStrings.xml><?xml version="1.0" encoding="utf-8"?>
<sst xmlns="http://schemas.openxmlformats.org/spreadsheetml/2006/main" count="14" uniqueCount="13">
  <si>
    <t>Instancia</t>
  </si>
  <si>
    <t>replica</t>
  </si>
  <si>
    <t>U_relativa</t>
  </si>
  <si>
    <t>D_camiones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</si>
  <si>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</si>
  <si>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</si>
  <si>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</si>
  <si>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</si>
  <si>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</si>
  <si>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</si>
  <si>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</si>
  <si>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</si>
  <si>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31.25 km/hr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</si>
</sst>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F14" sqref="F14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>
        <v>0</v>
      </c>
      <c r="B2">
        <v>0</v>
      </c>
      <c r="C2">
        <v>0.55409836065573703</v>
      </c>
      <c r="D2">
        <v>526288.06000000006</v>
      </c>
      <c r="H2" t="s">
        <v>12</v>
      </c>
    </row>
    <row r="3" spans="1:12" x14ac:dyDescent="0.2">
      <c r="A3">
        <v>0</v>
      </c>
      <c r="B3">
        <v>1</v>
      </c>
      <c r="C3">
        <v>0.63907284768211903</v>
      </c>
      <c r="D3">
        <v>523733.2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8</v>
      </c>
    </row>
    <row r="4" spans="1:12" x14ac:dyDescent="0.2">
      <c r="A4">
        <v>0</v>
      </c>
      <c r="B4">
        <v>2</v>
      </c>
      <c r="C4">
        <v>0.54674220963172804</v>
      </c>
      <c r="D4">
        <v>504342.88</v>
      </c>
      <c r="G4" t="s">
        <v>9</v>
      </c>
      <c r="H4" s="1">
        <f>MIN($C$2:$C$11)</f>
        <v>0.50708215297450399</v>
      </c>
      <c r="I4" s="1">
        <f>MIN($C$12:$C$21)</f>
        <v>0.47181008902077098</v>
      </c>
      <c r="J4" s="1">
        <f>MIN($C$22:$C$31)</f>
        <v>0.60256410256410198</v>
      </c>
      <c r="K4" s="1">
        <f>MIN($C$32:$C$41)</f>
        <v>0.58333333333333304</v>
      </c>
      <c r="L4" s="2">
        <f>MIN(C:C)</f>
        <v>0.47181008902077098</v>
      </c>
    </row>
    <row r="5" spans="1:12" x14ac:dyDescent="0.2">
      <c r="A5">
        <v>0</v>
      </c>
      <c r="B5">
        <v>3</v>
      </c>
      <c r="C5">
        <v>0.55263157894736803</v>
      </c>
      <c r="D5">
        <v>530227.43999999994</v>
      </c>
      <c r="G5" t="s">
        <v>10</v>
      </c>
      <c r="H5" s="1">
        <f>AVERAGE($C$2:$C$11)</f>
        <v>0.58580011301825352</v>
      </c>
      <c r="I5" s="1">
        <f>AVERAGE($C$12:$C$21)</f>
        <v>0.50708974555791297</v>
      </c>
      <c r="J5" s="1">
        <f>AVERAGE($C$22:$C$31)</f>
        <v>0.65456483612957894</v>
      </c>
      <c r="K5" s="1">
        <f>AVERAGE($C$32:$C$41)</f>
        <v>0.6219382256292797</v>
      </c>
      <c r="L5" s="2">
        <f>AVERAGE(C:C)</f>
        <v>0.59234823008375626</v>
      </c>
    </row>
    <row r="6" spans="1:12" x14ac:dyDescent="0.2">
      <c r="A6">
        <v>0</v>
      </c>
      <c r="B6">
        <v>4</v>
      </c>
      <c r="C6">
        <v>0.57482993197278898</v>
      </c>
      <c r="D6">
        <v>503525.44</v>
      </c>
      <c r="G6" t="s">
        <v>11</v>
      </c>
      <c r="H6" s="1">
        <f>MAX($C$2:$C$11)</f>
        <v>0.65635738831615098</v>
      </c>
      <c r="I6" s="1">
        <f>MAX($C$12:$C$21)</f>
        <v>0.54632587859424897</v>
      </c>
      <c r="J6" s="1">
        <f>MAX($C$22:$C$31)</f>
        <v>0.720136518771331</v>
      </c>
      <c r="K6" s="1">
        <f>MAX($C$32:$C$41)</f>
        <v>0.66894197952218404</v>
      </c>
      <c r="L6" s="2">
        <f>MAX(C:C)</f>
        <v>0.720136518771331</v>
      </c>
    </row>
    <row r="7" spans="1:12" x14ac:dyDescent="0.2">
      <c r="A7">
        <v>0</v>
      </c>
      <c r="B7">
        <v>5</v>
      </c>
      <c r="C7">
        <v>0.57928802588996697</v>
      </c>
      <c r="D7">
        <v>515289.16</v>
      </c>
    </row>
    <row r="8" spans="1:12" x14ac:dyDescent="0.2">
      <c r="A8">
        <v>0</v>
      </c>
      <c r="B8">
        <v>6</v>
      </c>
      <c r="C8">
        <v>0.65612648221343794</v>
      </c>
      <c r="D8">
        <v>540045.1</v>
      </c>
    </row>
    <row r="9" spans="1:12" x14ac:dyDescent="0.2">
      <c r="A9">
        <v>0</v>
      </c>
      <c r="B9">
        <v>7</v>
      </c>
      <c r="C9">
        <v>0.50708215297450399</v>
      </c>
      <c r="D9">
        <v>525264.75</v>
      </c>
    </row>
    <row r="10" spans="1:12" x14ac:dyDescent="0.2">
      <c r="A10">
        <v>0</v>
      </c>
      <c r="B10">
        <v>8</v>
      </c>
      <c r="C10">
        <v>0.65635738831615098</v>
      </c>
      <c r="D10">
        <v>512296.2</v>
      </c>
    </row>
    <row r="11" spans="1:12" x14ac:dyDescent="0.2">
      <c r="A11">
        <v>0</v>
      </c>
      <c r="B11">
        <v>9</v>
      </c>
      <c r="C11">
        <v>0.591772151898734</v>
      </c>
      <c r="D11">
        <v>529818.5</v>
      </c>
    </row>
    <row r="12" spans="1:12" x14ac:dyDescent="0.2">
      <c r="A12">
        <v>1</v>
      </c>
      <c r="B12">
        <v>0</v>
      </c>
      <c r="C12">
        <v>0.50793650793650702</v>
      </c>
      <c r="D12">
        <v>527979.69999999995</v>
      </c>
    </row>
    <row r="13" spans="1:12" x14ac:dyDescent="0.2">
      <c r="A13">
        <v>1</v>
      </c>
      <c r="B13">
        <v>1</v>
      </c>
      <c r="C13">
        <v>0.54632587859424897</v>
      </c>
      <c r="D13">
        <v>495625.88</v>
      </c>
    </row>
    <row r="14" spans="1:12" x14ac:dyDescent="0.2">
      <c r="A14">
        <v>1</v>
      </c>
      <c r="B14">
        <v>2</v>
      </c>
      <c r="C14">
        <v>0.52617079889807095</v>
      </c>
      <c r="D14">
        <v>533316.9</v>
      </c>
    </row>
    <row r="15" spans="1:12" x14ac:dyDescent="0.2">
      <c r="A15">
        <v>1</v>
      </c>
      <c r="B15">
        <v>3</v>
      </c>
      <c r="C15">
        <v>0.49425287356321801</v>
      </c>
      <c r="D15">
        <v>518372.72</v>
      </c>
    </row>
    <row r="16" spans="1:12" x14ac:dyDescent="0.2">
      <c r="A16">
        <v>1</v>
      </c>
      <c r="B16">
        <v>4</v>
      </c>
      <c r="C16">
        <v>0.48520710059171501</v>
      </c>
      <c r="D16">
        <v>531000.30000000005</v>
      </c>
    </row>
    <row r="17" spans="1:4" x14ac:dyDescent="0.2">
      <c r="A17">
        <v>1</v>
      </c>
      <c r="B17">
        <v>5</v>
      </c>
      <c r="C17">
        <v>0.50303030303030305</v>
      </c>
      <c r="D17">
        <v>536012</v>
      </c>
    </row>
    <row r="18" spans="1:4" x14ac:dyDescent="0.2">
      <c r="A18">
        <v>1</v>
      </c>
      <c r="B18">
        <v>6</v>
      </c>
      <c r="C18">
        <v>0.47181008902077098</v>
      </c>
      <c r="D18">
        <v>498187.2</v>
      </c>
    </row>
    <row r="19" spans="1:4" x14ac:dyDescent="0.2">
      <c r="A19">
        <v>1</v>
      </c>
      <c r="B19">
        <v>7</v>
      </c>
      <c r="C19">
        <v>0.47714285714285698</v>
      </c>
      <c r="D19">
        <v>525115.80000000005</v>
      </c>
    </row>
    <row r="20" spans="1:4" x14ac:dyDescent="0.2">
      <c r="A20">
        <v>1</v>
      </c>
      <c r="B20">
        <v>8</v>
      </c>
      <c r="C20">
        <v>0.52717391304347805</v>
      </c>
      <c r="D20">
        <v>525517.4</v>
      </c>
    </row>
    <row r="21" spans="1:4" x14ac:dyDescent="0.2">
      <c r="A21">
        <v>1</v>
      </c>
      <c r="B21">
        <v>9</v>
      </c>
      <c r="C21">
        <v>0.531847133757961</v>
      </c>
      <c r="D21">
        <v>529442.1</v>
      </c>
    </row>
    <row r="22" spans="1:4" x14ac:dyDescent="0.2">
      <c r="A22">
        <v>2</v>
      </c>
      <c r="B22">
        <v>0</v>
      </c>
      <c r="C22">
        <v>0.66984126984126902</v>
      </c>
      <c r="D22">
        <v>466237.03</v>
      </c>
    </row>
    <row r="23" spans="1:4" x14ac:dyDescent="0.2">
      <c r="A23">
        <v>2</v>
      </c>
      <c r="B23">
        <v>1</v>
      </c>
      <c r="C23">
        <v>0.60256410256410198</v>
      </c>
      <c r="D23">
        <v>478392.8</v>
      </c>
    </row>
    <row r="24" spans="1:4" x14ac:dyDescent="0.2">
      <c r="A24">
        <v>2</v>
      </c>
      <c r="B24">
        <v>2</v>
      </c>
      <c r="C24">
        <v>0.65165165165165095</v>
      </c>
      <c r="D24">
        <v>466156.06</v>
      </c>
    </row>
    <row r="25" spans="1:4" x14ac:dyDescent="0.2">
      <c r="A25">
        <v>2</v>
      </c>
      <c r="B25">
        <v>3</v>
      </c>
      <c r="C25">
        <v>0.66563467492259998</v>
      </c>
      <c r="D25">
        <v>483461.47</v>
      </c>
    </row>
    <row r="26" spans="1:4" x14ac:dyDescent="0.2">
      <c r="A26">
        <v>2</v>
      </c>
      <c r="B26">
        <v>4</v>
      </c>
      <c r="C26">
        <v>0.62566844919786002</v>
      </c>
      <c r="D26">
        <v>472933.22</v>
      </c>
    </row>
    <row r="27" spans="1:4" x14ac:dyDescent="0.2">
      <c r="A27">
        <v>2</v>
      </c>
      <c r="B27">
        <v>5</v>
      </c>
      <c r="C27">
        <v>0.65363128491620104</v>
      </c>
      <c r="D27">
        <v>459629.75</v>
      </c>
    </row>
    <row r="28" spans="1:4" x14ac:dyDescent="0.2">
      <c r="A28">
        <v>2</v>
      </c>
      <c r="B28">
        <v>6</v>
      </c>
      <c r="C28">
        <v>0.720136518771331</v>
      </c>
      <c r="D28">
        <v>475736.4</v>
      </c>
    </row>
    <row r="29" spans="1:4" x14ac:dyDescent="0.2">
      <c r="A29">
        <v>2</v>
      </c>
      <c r="B29">
        <v>7</v>
      </c>
      <c r="C29">
        <v>0.65175718849840203</v>
      </c>
      <c r="D29">
        <v>462896.8</v>
      </c>
    </row>
    <row r="30" spans="1:4" x14ac:dyDescent="0.2">
      <c r="A30">
        <v>2</v>
      </c>
      <c r="B30">
        <v>8</v>
      </c>
      <c r="C30">
        <v>0.64506172839506104</v>
      </c>
      <c r="D30">
        <v>455406.72</v>
      </c>
    </row>
    <row r="31" spans="1:4" x14ac:dyDescent="0.2">
      <c r="A31">
        <v>2</v>
      </c>
      <c r="B31">
        <v>9</v>
      </c>
      <c r="C31">
        <v>0.65970149253731303</v>
      </c>
      <c r="D31">
        <v>449646.12</v>
      </c>
    </row>
    <row r="32" spans="1:4" x14ac:dyDescent="0.2">
      <c r="A32">
        <v>3</v>
      </c>
      <c r="B32">
        <v>0</v>
      </c>
      <c r="C32">
        <v>0.63174603174603094</v>
      </c>
      <c r="D32">
        <v>487871.62</v>
      </c>
    </row>
    <row r="33" spans="1:4" x14ac:dyDescent="0.2">
      <c r="A33">
        <v>3</v>
      </c>
      <c r="B33">
        <v>1</v>
      </c>
      <c r="C33">
        <v>0.58333333333333304</v>
      </c>
      <c r="D33">
        <v>507686.8</v>
      </c>
    </row>
    <row r="34" spans="1:4" x14ac:dyDescent="0.2">
      <c r="A34">
        <v>3</v>
      </c>
      <c r="B34">
        <v>2</v>
      </c>
      <c r="C34">
        <v>0.64564564564564497</v>
      </c>
      <c r="D34">
        <v>457672.38</v>
      </c>
    </row>
    <row r="35" spans="1:4" x14ac:dyDescent="0.2">
      <c r="A35">
        <v>3</v>
      </c>
      <c r="B35">
        <v>3</v>
      </c>
      <c r="C35">
        <v>0.58513931888544801</v>
      </c>
      <c r="D35">
        <v>483518.3</v>
      </c>
    </row>
    <row r="36" spans="1:4" x14ac:dyDescent="0.2">
      <c r="A36">
        <v>3</v>
      </c>
      <c r="B36">
        <v>4</v>
      </c>
      <c r="C36">
        <v>0.59893048128342197</v>
      </c>
      <c r="D36">
        <v>438911.97</v>
      </c>
    </row>
    <row r="37" spans="1:4" x14ac:dyDescent="0.2">
      <c r="A37">
        <v>3</v>
      </c>
      <c r="B37">
        <v>5</v>
      </c>
      <c r="C37">
        <v>0.58938547486033499</v>
      </c>
      <c r="D37">
        <v>476634.22</v>
      </c>
    </row>
    <row r="38" spans="1:4" x14ac:dyDescent="0.2">
      <c r="A38">
        <v>3</v>
      </c>
      <c r="B38">
        <v>6</v>
      </c>
      <c r="C38">
        <v>0.66894197952218404</v>
      </c>
      <c r="D38">
        <v>497227.28</v>
      </c>
    </row>
    <row r="39" spans="1:4" x14ac:dyDescent="0.2">
      <c r="A39">
        <v>3</v>
      </c>
      <c r="B39">
        <v>7</v>
      </c>
      <c r="C39">
        <v>0.63578274760383302</v>
      </c>
      <c r="D39">
        <v>469685.2</v>
      </c>
    </row>
    <row r="40" spans="1:4" x14ac:dyDescent="0.2">
      <c r="A40">
        <v>3</v>
      </c>
      <c r="B40">
        <v>8</v>
      </c>
      <c r="C40">
        <v>0.63271604938271597</v>
      </c>
      <c r="D40">
        <v>456319.75</v>
      </c>
    </row>
    <row r="41" spans="1:4" x14ac:dyDescent="0.2">
      <c r="A41">
        <v>3</v>
      </c>
      <c r="B41">
        <v>9</v>
      </c>
      <c r="C41">
        <v>0.64776119402985</v>
      </c>
      <c r="D41">
        <v>450254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2026-06-27T17:43:35Z</dcterms:created>
  <dcterms:modified xsi:type="dcterms:W3CDTF">2026-06-27T17:45:51Z</dcterms:modified>
</cp:coreProperties>
</file>