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little/Desktop/CAPSTONE/Github repo/ICS2122/outputs/myopic_outputs/analysis_sensible/"/>
    </mc:Choice>
  </mc:AlternateContent>
  <xr:revisionPtr revIDLastSave="0" documentId="13_ncr:1_{BDEE04F0-5121-DC46-8D26-EA1B4367C895}" xr6:coauthVersionLast="47" xr6:coauthVersionMax="47" xr10:uidLastSave="{00000000-0000-0000-0000-000000000000}"/>
  <bookViews>
    <workbookView xWindow="8880" yWindow="3800" windowWidth="28040" windowHeight="17440" xr2:uid="{00000000-000D-0000-FFFF-FFFF00000000}"/>
  </bookViews>
  <sheets>
    <sheet name="Camion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" i="1" l="1"/>
  <c r="J6" i="1"/>
  <c r="J4" i="1"/>
  <c r="J5" i="1"/>
  <c r="K6" i="1"/>
  <c r="K5" i="1"/>
  <c r="I6" i="1"/>
  <c r="L6" i="1"/>
  <c r="L4" i="1"/>
  <c r="L5" i="1"/>
  <c r="I5" i="1"/>
  <c r="I4" i="1"/>
  <c r="H6" i="1"/>
  <c r="H5" i="1"/>
  <c r="H4" i="1"/>
</calcChain>
</file>

<file path=xl/sharedStrings.xml><?xml version="1.0" encoding="utf-8"?>
<sst xmlns="http://schemas.openxmlformats.org/spreadsheetml/2006/main" count="14" uniqueCount="13">
  <si>
    <t>Instancia</t>
  </si>
  <si>
    <t>replica</t>
  </si>
  <si>
    <t>U_relativa</t>
  </si>
  <si>
    <t>D_camiones</t>
  </si>
  <si>
    <t>I</t>
  </si>
  <si>
    <t>II</t>
  </si>
  <si>
    <t>III</t>
  </si>
  <si>
    <t>IV</t>
  </si>
  <si>
    <t>Todas</t>
  </si>
  <si>
    <t>Min(U)</t>
  </si>
  <si>
    <t>E(U)</t>
  </si>
  <si>
    <t>Max(U)</t>
  </si>
  <si>
    <t>Estadísticas Caso Base DOS CAMIONES desagregado por instancias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</si>
</sst>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"/>
  <sheetViews>
    <sheetView tabSelected="1" workbookViewId="0">
      <selection activeCell="M13" sqref="M13"/>
    </sheetView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</row>
    <row r="2" spans="1:12" x14ac:dyDescent="0.2">
      <c r="A2">
        <v>0</v>
      </c>
      <c r="B2">
        <v>0</v>
      </c>
      <c r="C2">
        <v>0.35737704918032698</v>
      </c>
      <c r="D2">
        <v>293568.03000000003</v>
      </c>
      <c r="H2" t="s">
        <v>12</v>
      </c>
    </row>
    <row r="3" spans="1:12" x14ac:dyDescent="0.2">
      <c r="A3">
        <v>0</v>
      </c>
      <c r="B3">
        <v>1</v>
      </c>
      <c r="C3">
        <v>0.37748344370860898</v>
      </c>
      <c r="D3">
        <v>279470.3</v>
      </c>
      <c r="G3" t="s">
        <v>0</v>
      </c>
      <c r="H3" t="s">
        <v>4</v>
      </c>
      <c r="I3" t="s">
        <v>5</v>
      </c>
      <c r="J3" t="s">
        <v>6</v>
      </c>
      <c r="K3" t="s">
        <v>7</v>
      </c>
      <c r="L3" t="s">
        <v>8</v>
      </c>
    </row>
    <row r="4" spans="1:12" x14ac:dyDescent="0.2">
      <c r="A4">
        <v>0</v>
      </c>
      <c r="B4">
        <v>2</v>
      </c>
      <c r="C4">
        <v>0.314447592067988</v>
      </c>
      <c r="D4">
        <v>277685.25</v>
      </c>
      <c r="G4" t="s">
        <v>9</v>
      </c>
      <c r="H4" s="1">
        <f>MIN($C$2:$C$11)</f>
        <v>0.29824561403508698</v>
      </c>
      <c r="I4" s="1">
        <f>MIN($C$12:$C$21)</f>
        <v>0.27596439169139397</v>
      </c>
      <c r="J4" s="1">
        <f>MIN($C$22:$C$31)</f>
        <v>0.34636871508379802</v>
      </c>
      <c r="K4" s="1">
        <f>MIN($C$32:$C$41)</f>
        <v>0.32371794871794801</v>
      </c>
      <c r="L4" s="2">
        <f>MIN(C:C)</f>
        <v>0.27596439169139397</v>
      </c>
    </row>
    <row r="5" spans="1:12" x14ac:dyDescent="0.2">
      <c r="A5">
        <v>0</v>
      </c>
      <c r="B5">
        <v>3</v>
      </c>
      <c r="C5">
        <v>0.29824561403508698</v>
      </c>
      <c r="D5">
        <v>288823.94</v>
      </c>
      <c r="G5" t="s">
        <v>10</v>
      </c>
      <c r="H5" s="1">
        <f>AVERAGE($C$2:$C$11)</f>
        <v>0.33718166680399247</v>
      </c>
      <c r="I5" s="1">
        <f>AVERAGE($C$12:$C$21)</f>
        <v>0.29118200327595345</v>
      </c>
      <c r="J5" s="1">
        <f>AVERAGE($C$22:$C$31)</f>
        <v>0.37319776793641235</v>
      </c>
      <c r="K5" s="1">
        <f>AVERAGE($C$32:$C$41)</f>
        <v>0.35139226197504891</v>
      </c>
      <c r="L5" s="2">
        <f>AVERAGE(C:C)</f>
        <v>0.33823842499785178</v>
      </c>
    </row>
    <row r="6" spans="1:12" x14ac:dyDescent="0.2">
      <c r="A6">
        <v>0</v>
      </c>
      <c r="B6">
        <v>4</v>
      </c>
      <c r="C6">
        <v>0.31632653061224397</v>
      </c>
      <c r="D6">
        <v>288930.7</v>
      </c>
      <c r="G6" t="s">
        <v>11</v>
      </c>
      <c r="H6" s="1">
        <f>MAX($C$2:$C$11)</f>
        <v>0.37748344370860898</v>
      </c>
      <c r="I6" s="1">
        <f>MAX($C$12:$C$21)</f>
        <v>0.321656050955414</v>
      </c>
      <c r="J6" s="1">
        <f>MAX($C$22:$C$31)</f>
        <v>0.41296928327644999</v>
      </c>
      <c r="K6" s="1">
        <f>MAX($C$32:$C$41)</f>
        <v>0.38730158730158698</v>
      </c>
      <c r="L6" s="2">
        <f>MAX(C:C)</f>
        <v>0.41296928327644999</v>
      </c>
    </row>
    <row r="7" spans="1:12" x14ac:dyDescent="0.2">
      <c r="A7">
        <v>0</v>
      </c>
      <c r="B7">
        <v>5</v>
      </c>
      <c r="C7">
        <v>0.32362459546925498</v>
      </c>
      <c r="D7">
        <v>289412.71999999997</v>
      </c>
    </row>
    <row r="8" spans="1:12" x14ac:dyDescent="0.2">
      <c r="A8">
        <v>0</v>
      </c>
      <c r="B8">
        <v>6</v>
      </c>
      <c r="C8">
        <v>0.375494071146245</v>
      </c>
      <c r="D8">
        <v>300530.7</v>
      </c>
    </row>
    <row r="9" spans="1:12" x14ac:dyDescent="0.2">
      <c r="A9">
        <v>0</v>
      </c>
      <c r="B9">
        <v>7</v>
      </c>
      <c r="C9">
        <v>0.30594900849858297</v>
      </c>
      <c r="D9">
        <v>277656.03000000003</v>
      </c>
    </row>
    <row r="10" spans="1:12" x14ac:dyDescent="0.2">
      <c r="A10">
        <v>0</v>
      </c>
      <c r="B10">
        <v>8</v>
      </c>
      <c r="C10">
        <v>0.36426116838487899</v>
      </c>
      <c r="D10">
        <v>293268.75</v>
      </c>
    </row>
    <row r="11" spans="1:12" x14ac:dyDescent="0.2">
      <c r="A11">
        <v>0</v>
      </c>
      <c r="B11">
        <v>9</v>
      </c>
      <c r="C11">
        <v>0.338607594936708</v>
      </c>
      <c r="D11">
        <v>292231.56</v>
      </c>
    </row>
    <row r="12" spans="1:12" x14ac:dyDescent="0.2">
      <c r="A12">
        <v>1</v>
      </c>
      <c r="B12">
        <v>0</v>
      </c>
      <c r="C12">
        <v>0.314285714285714</v>
      </c>
      <c r="D12">
        <v>296248</v>
      </c>
    </row>
    <row r="13" spans="1:12" x14ac:dyDescent="0.2">
      <c r="A13">
        <v>1</v>
      </c>
      <c r="B13">
        <v>1</v>
      </c>
      <c r="C13">
        <v>0.306709265175718</v>
      </c>
      <c r="D13">
        <v>293108.65999999997</v>
      </c>
    </row>
    <row r="14" spans="1:12" x14ac:dyDescent="0.2">
      <c r="A14">
        <v>1</v>
      </c>
      <c r="B14">
        <v>2</v>
      </c>
      <c r="C14">
        <v>0.28650137741046799</v>
      </c>
      <c r="D14">
        <v>295421.3</v>
      </c>
    </row>
    <row r="15" spans="1:12" x14ac:dyDescent="0.2">
      <c r="A15">
        <v>1</v>
      </c>
      <c r="B15">
        <v>3</v>
      </c>
      <c r="C15">
        <v>0.284482758620689</v>
      </c>
      <c r="D15">
        <v>283858.7</v>
      </c>
    </row>
    <row r="16" spans="1:12" x14ac:dyDescent="0.2">
      <c r="A16">
        <v>1</v>
      </c>
      <c r="B16">
        <v>4</v>
      </c>
      <c r="C16">
        <v>0.27810650887573901</v>
      </c>
      <c r="D16">
        <v>302078.44</v>
      </c>
    </row>
    <row r="17" spans="1:4" x14ac:dyDescent="0.2">
      <c r="A17">
        <v>1</v>
      </c>
      <c r="B17">
        <v>5</v>
      </c>
      <c r="C17">
        <v>0.27878787878787797</v>
      </c>
      <c r="D17">
        <v>302915.12</v>
      </c>
    </row>
    <row r="18" spans="1:4" x14ac:dyDescent="0.2">
      <c r="A18">
        <v>1</v>
      </c>
      <c r="B18">
        <v>6</v>
      </c>
      <c r="C18">
        <v>0.27596439169139397</v>
      </c>
      <c r="D18">
        <v>293520.8</v>
      </c>
    </row>
    <row r="19" spans="1:4" x14ac:dyDescent="0.2">
      <c r="A19">
        <v>1</v>
      </c>
      <c r="B19">
        <v>7</v>
      </c>
      <c r="C19">
        <v>0.28000000000000003</v>
      </c>
      <c r="D19">
        <v>299308.40000000002</v>
      </c>
    </row>
    <row r="20" spans="1:4" x14ac:dyDescent="0.2">
      <c r="A20">
        <v>1</v>
      </c>
      <c r="B20">
        <v>8</v>
      </c>
      <c r="C20">
        <v>0.28532608695652101</v>
      </c>
      <c r="D20">
        <v>300422.75</v>
      </c>
    </row>
    <row r="21" spans="1:4" x14ac:dyDescent="0.2">
      <c r="A21">
        <v>1</v>
      </c>
      <c r="B21">
        <v>9</v>
      </c>
      <c r="C21">
        <v>0.321656050955414</v>
      </c>
      <c r="D21">
        <v>278747.5</v>
      </c>
    </row>
    <row r="22" spans="1:4" x14ac:dyDescent="0.2">
      <c r="A22">
        <v>2</v>
      </c>
      <c r="B22">
        <v>0</v>
      </c>
      <c r="C22">
        <v>0.38412698412698398</v>
      </c>
      <c r="D22">
        <v>273185.71999999997</v>
      </c>
    </row>
    <row r="23" spans="1:4" x14ac:dyDescent="0.2">
      <c r="A23">
        <v>2</v>
      </c>
      <c r="B23">
        <v>1</v>
      </c>
      <c r="C23">
        <v>0.375</v>
      </c>
      <c r="D23">
        <v>284355.53000000003</v>
      </c>
    </row>
    <row r="24" spans="1:4" x14ac:dyDescent="0.2">
      <c r="A24">
        <v>2</v>
      </c>
      <c r="B24">
        <v>2</v>
      </c>
      <c r="C24">
        <v>0.363363363363363</v>
      </c>
      <c r="D24">
        <v>270308.06</v>
      </c>
    </row>
    <row r="25" spans="1:4" x14ac:dyDescent="0.2">
      <c r="A25">
        <v>2</v>
      </c>
      <c r="B25">
        <v>3</v>
      </c>
      <c r="C25">
        <v>0.359133126934984</v>
      </c>
      <c r="D25">
        <v>264410.56</v>
      </c>
    </row>
    <row r="26" spans="1:4" x14ac:dyDescent="0.2">
      <c r="A26">
        <v>2</v>
      </c>
      <c r="B26">
        <v>4</v>
      </c>
      <c r="C26">
        <v>0.36631016042780701</v>
      </c>
      <c r="D26">
        <v>266357.7</v>
      </c>
    </row>
    <row r="27" spans="1:4" x14ac:dyDescent="0.2">
      <c r="A27">
        <v>2</v>
      </c>
      <c r="B27">
        <v>5</v>
      </c>
      <c r="C27">
        <v>0.34636871508379802</v>
      </c>
      <c r="D27">
        <v>275476.3</v>
      </c>
    </row>
    <row r="28" spans="1:4" x14ac:dyDescent="0.2">
      <c r="A28">
        <v>2</v>
      </c>
      <c r="B28">
        <v>6</v>
      </c>
      <c r="C28">
        <v>0.41296928327644999</v>
      </c>
      <c r="D28">
        <v>278588.44</v>
      </c>
    </row>
    <row r="29" spans="1:4" x14ac:dyDescent="0.2">
      <c r="A29">
        <v>2</v>
      </c>
      <c r="B29">
        <v>7</v>
      </c>
      <c r="C29">
        <v>0.35782747603833798</v>
      </c>
      <c r="D29">
        <v>288888.40000000002</v>
      </c>
    </row>
    <row r="30" spans="1:4" x14ac:dyDescent="0.2">
      <c r="A30">
        <v>2</v>
      </c>
      <c r="B30">
        <v>8</v>
      </c>
      <c r="C30">
        <v>0.35493827160493802</v>
      </c>
      <c r="D30">
        <v>279049.56</v>
      </c>
    </row>
    <row r="31" spans="1:4" x14ac:dyDescent="0.2">
      <c r="A31">
        <v>2</v>
      </c>
      <c r="B31">
        <v>9</v>
      </c>
      <c r="C31">
        <v>0.411940298507462</v>
      </c>
      <c r="D31">
        <v>255535.89</v>
      </c>
    </row>
    <row r="32" spans="1:4" x14ac:dyDescent="0.2">
      <c r="A32">
        <v>3</v>
      </c>
      <c r="B32">
        <v>0</v>
      </c>
      <c r="C32">
        <v>0.38730158730158698</v>
      </c>
      <c r="D32">
        <v>273612.09999999998</v>
      </c>
    </row>
    <row r="33" spans="1:4" x14ac:dyDescent="0.2">
      <c r="A33">
        <v>3</v>
      </c>
      <c r="B33">
        <v>1</v>
      </c>
      <c r="C33">
        <v>0.32371794871794801</v>
      </c>
      <c r="D33">
        <v>284276.71999999997</v>
      </c>
    </row>
    <row r="34" spans="1:4" x14ac:dyDescent="0.2">
      <c r="A34">
        <v>3</v>
      </c>
      <c r="B34">
        <v>2</v>
      </c>
      <c r="C34">
        <v>0.33633633633633597</v>
      </c>
      <c r="D34">
        <v>290053.03000000003</v>
      </c>
    </row>
    <row r="35" spans="1:4" x14ac:dyDescent="0.2">
      <c r="A35">
        <v>3</v>
      </c>
      <c r="B35">
        <v>3</v>
      </c>
      <c r="C35">
        <v>0.33126934984520101</v>
      </c>
      <c r="D35">
        <v>272061.94</v>
      </c>
    </row>
    <row r="36" spans="1:4" x14ac:dyDescent="0.2">
      <c r="A36">
        <v>3</v>
      </c>
      <c r="B36">
        <v>4</v>
      </c>
      <c r="C36">
        <v>0.36096256684491901</v>
      </c>
      <c r="D36">
        <v>240373.1</v>
      </c>
    </row>
    <row r="37" spans="1:4" x14ac:dyDescent="0.2">
      <c r="A37">
        <v>3</v>
      </c>
      <c r="B37">
        <v>5</v>
      </c>
      <c r="C37">
        <v>0.34357541899441302</v>
      </c>
      <c r="D37">
        <v>266437.06</v>
      </c>
    </row>
    <row r="38" spans="1:4" x14ac:dyDescent="0.2">
      <c r="A38">
        <v>3</v>
      </c>
      <c r="B38">
        <v>6</v>
      </c>
      <c r="C38">
        <v>0.37542662116040898</v>
      </c>
      <c r="D38">
        <v>283981.12</v>
      </c>
    </row>
    <row r="39" spans="1:4" x14ac:dyDescent="0.2">
      <c r="A39">
        <v>3</v>
      </c>
      <c r="B39">
        <v>7</v>
      </c>
      <c r="C39">
        <v>0.35463258785942398</v>
      </c>
      <c r="D39">
        <v>293238.56</v>
      </c>
    </row>
    <row r="40" spans="1:4" x14ac:dyDescent="0.2">
      <c r="A40">
        <v>3</v>
      </c>
      <c r="B40">
        <v>8</v>
      </c>
      <c r="C40">
        <v>0.33950617283950602</v>
      </c>
      <c r="D40">
        <v>285298.34000000003</v>
      </c>
    </row>
    <row r="41" spans="1:4" x14ac:dyDescent="0.2">
      <c r="A41">
        <v>3</v>
      </c>
      <c r="B41">
        <v>9</v>
      </c>
      <c r="C41">
        <v>0.361194029850746</v>
      </c>
      <c r="D41">
        <v>278547.38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CamionSummary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2026-06-23T02:13:43Z</dcterms:created>
  <dcterms:modified xsi:type="dcterms:W3CDTF">2026-06-23T02:50:45Z</dcterms:modified>
</cp:coreProperties>
</file>