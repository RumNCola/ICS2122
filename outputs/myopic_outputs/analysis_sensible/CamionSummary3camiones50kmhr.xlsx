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analysis_sensible/"/>
    </mc:Choice>
  </mc:AlternateContent>
  <xr:revisionPtr revIDLastSave="0" documentId="13_ncr:1_{55AE0719-6685-3145-838B-0DC2FEA0E06C}" xr6:coauthVersionLast="47" xr6:coauthVersionMax="47" xr10:uidLastSave="{00000000-0000-0000-0000-000000000000}"/>
  <bookViews>
    <workbookView xWindow="8880" yWindow="3800" windowWidth="28040" windowHeight="17440" xr2:uid="{00000000-000D-0000-FFFF-FFFF00000000}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J6" i="1"/>
  <c r="J4" i="1"/>
  <c r="J5" i="1"/>
  <c r="K6" i="1"/>
  <c r="K5" i="1"/>
  <c r="I6" i="1"/>
  <c r="L6" i="1"/>
  <c r="L4" i="1"/>
  <c r="L5" i="1"/>
  <c r="I5" i="1"/>
  <c r="I4" i="1"/>
  <c r="H6" i="1"/>
  <c r="H5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<sst xmlns="http://schemas.openxmlformats.org/spreadsheetml/2006/main" count="14" uniqueCount="13">
  <si>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</si>
  <si>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</si>
  <si>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</si>
  <si>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</si>
  <si>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</si>
  <si>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</si>
  <si>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</si>
  <si>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</si>
  <si>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</si>
  <si>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</si>
  <si>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</si>
  <si>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</si>
  <si>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50 km/hr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</si>
</sst>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H14" sqref="H1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0.79016393442622901</v>
      </c>
      <c r="D2">
        <v>745475.44</v>
      </c>
      <c r="H2" t="s">
        <v>12</v>
      </c>
    </row>
    <row r="3" spans="1:12" x14ac:dyDescent="0.2">
      <c r="A3">
        <v>0</v>
      </c>
      <c r="B3">
        <v>1</v>
      </c>
      <c r="C3">
        <v>0.83443708609271505</v>
      </c>
      <c r="D3">
        <v>730960.44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0.74787535410764805</v>
      </c>
      <c r="D4">
        <v>707052.5</v>
      </c>
      <c r="G4" t="s">
        <v>9</v>
      </c>
      <c r="H4" s="1">
        <f>MIN($C$2:$C$11)</f>
        <v>0.68271954674220903</v>
      </c>
      <c r="I4" s="1">
        <f>MIN($C$12:$C$21)</f>
        <v>0.65875370919881304</v>
      </c>
      <c r="J4" s="1">
        <f>MIN($C$22:$C$31)</f>
        <v>0.77540106951871601</v>
      </c>
      <c r="K4" s="1">
        <f>MIN($C$32:$C$41)</f>
        <v>0.76716417910447698</v>
      </c>
      <c r="L4" s="2">
        <f>MIN(C:C)</f>
        <v>0.65875370919881304</v>
      </c>
    </row>
    <row r="5" spans="1:12" x14ac:dyDescent="0.2">
      <c r="A5">
        <v>0</v>
      </c>
      <c r="B5">
        <v>3</v>
      </c>
      <c r="C5">
        <v>0.73684210526315697</v>
      </c>
      <c r="D5">
        <v>710407.06</v>
      </c>
      <c r="G5" t="s">
        <v>10</v>
      </c>
      <c r="H5" s="1">
        <f>AVERAGE($C$2:$C$11)</f>
        <v>0.78010472380031382</v>
      </c>
      <c r="I5" s="1">
        <f>AVERAGE($C$12:$C$21)</f>
        <v>0.69231385482759866</v>
      </c>
      <c r="J5" s="1">
        <f>AVERAGE($C$22:$C$31)</f>
        <v>0.82395869669802191</v>
      </c>
      <c r="K5" s="1">
        <f>AVERAGE($C$32:$C$41)</f>
        <v>0.79248056098999364</v>
      </c>
      <c r="L5" s="2">
        <f>AVERAGE(C:C)</f>
        <v>0.77221445907898201</v>
      </c>
    </row>
    <row r="6" spans="1:12" x14ac:dyDescent="0.2">
      <c r="A6">
        <v>0</v>
      </c>
      <c r="B6">
        <v>4</v>
      </c>
      <c r="C6">
        <v>0.77891156462584998</v>
      </c>
      <c r="D6">
        <v>728421.5</v>
      </c>
      <c r="G6" t="s">
        <v>11</v>
      </c>
      <c r="H6" s="1">
        <f>MAX($C$2:$C$11)</f>
        <v>0.86561264822134298</v>
      </c>
      <c r="I6" s="1">
        <f>MAX($C$12:$C$21)</f>
        <v>0.74522292993630501</v>
      </c>
      <c r="J6" s="1">
        <f>MAX($C$22:$C$31)</f>
        <v>0.90784982935153502</v>
      </c>
      <c r="K6" s="1">
        <f>MAX($C$32:$C$41)</f>
        <v>0.860068259385665</v>
      </c>
      <c r="L6" s="2">
        <f>MAX(C:C)</f>
        <v>0.90784982935153502</v>
      </c>
    </row>
    <row r="7" spans="1:12" x14ac:dyDescent="0.2">
      <c r="A7">
        <v>0</v>
      </c>
      <c r="B7">
        <v>5</v>
      </c>
      <c r="C7">
        <v>0.75728155339805803</v>
      </c>
      <c r="D7">
        <v>737138</v>
      </c>
    </row>
    <row r="8" spans="1:12" x14ac:dyDescent="0.2">
      <c r="A8">
        <v>0</v>
      </c>
      <c r="B8">
        <v>6</v>
      </c>
      <c r="C8">
        <v>0.86561264822134298</v>
      </c>
      <c r="D8">
        <v>751495.06</v>
      </c>
    </row>
    <row r="9" spans="1:12" x14ac:dyDescent="0.2">
      <c r="A9">
        <v>0</v>
      </c>
      <c r="B9">
        <v>7</v>
      </c>
      <c r="C9">
        <v>0.68271954674220903</v>
      </c>
      <c r="D9">
        <v>735737.9</v>
      </c>
    </row>
    <row r="10" spans="1:12" x14ac:dyDescent="0.2">
      <c r="A10">
        <v>0</v>
      </c>
      <c r="B10">
        <v>8</v>
      </c>
      <c r="C10">
        <v>0.83505154639175205</v>
      </c>
      <c r="D10">
        <v>714627.06</v>
      </c>
    </row>
    <row r="11" spans="1:12" x14ac:dyDescent="0.2">
      <c r="A11">
        <v>0</v>
      </c>
      <c r="B11">
        <v>9</v>
      </c>
      <c r="C11">
        <v>0.772151898734177</v>
      </c>
      <c r="D11">
        <v>737244.2</v>
      </c>
    </row>
    <row r="12" spans="1:12" x14ac:dyDescent="0.2">
      <c r="A12">
        <v>1</v>
      </c>
      <c r="B12">
        <v>0</v>
      </c>
      <c r="C12">
        <v>0.69841269841269804</v>
      </c>
      <c r="D12">
        <v>716214.56</v>
      </c>
    </row>
    <row r="13" spans="1:12" x14ac:dyDescent="0.2">
      <c r="A13">
        <v>1</v>
      </c>
      <c r="B13">
        <v>1</v>
      </c>
      <c r="C13">
        <v>0.72843450479233196</v>
      </c>
      <c r="D13">
        <v>717411.3</v>
      </c>
    </row>
    <row r="14" spans="1:12" x14ac:dyDescent="0.2">
      <c r="A14">
        <v>1</v>
      </c>
      <c r="B14">
        <v>2</v>
      </c>
      <c r="C14">
        <v>0.68870523415977902</v>
      </c>
      <c r="D14">
        <v>757283.9</v>
      </c>
    </row>
    <row r="15" spans="1:12" x14ac:dyDescent="0.2">
      <c r="A15">
        <v>1</v>
      </c>
      <c r="B15">
        <v>3</v>
      </c>
      <c r="C15">
        <v>0.67528735632183901</v>
      </c>
      <c r="D15">
        <v>689743.7</v>
      </c>
    </row>
    <row r="16" spans="1:12" x14ac:dyDescent="0.2">
      <c r="A16">
        <v>1</v>
      </c>
      <c r="B16">
        <v>4</v>
      </c>
      <c r="C16">
        <v>0.68639053254437798</v>
      </c>
      <c r="D16">
        <v>706882.6</v>
      </c>
    </row>
    <row r="17" spans="1:4" x14ac:dyDescent="0.2">
      <c r="A17">
        <v>1</v>
      </c>
      <c r="B17">
        <v>5</v>
      </c>
      <c r="C17">
        <v>0.68787878787878698</v>
      </c>
      <c r="D17">
        <v>707249.9</v>
      </c>
    </row>
    <row r="18" spans="1:4" x14ac:dyDescent="0.2">
      <c r="A18">
        <v>1</v>
      </c>
      <c r="B18">
        <v>6</v>
      </c>
      <c r="C18">
        <v>0.65875370919881304</v>
      </c>
      <c r="D18">
        <v>686078.75</v>
      </c>
    </row>
    <row r="19" spans="1:4" x14ac:dyDescent="0.2">
      <c r="A19">
        <v>1</v>
      </c>
      <c r="B19">
        <v>7</v>
      </c>
      <c r="C19">
        <v>0.68285714285714205</v>
      </c>
      <c r="D19">
        <v>706492.75</v>
      </c>
    </row>
    <row r="20" spans="1:4" x14ac:dyDescent="0.2">
      <c r="A20">
        <v>1</v>
      </c>
      <c r="B20">
        <v>8</v>
      </c>
      <c r="C20">
        <v>0.67119565217391297</v>
      </c>
      <c r="D20">
        <v>687569.8</v>
      </c>
    </row>
    <row r="21" spans="1:4" x14ac:dyDescent="0.2">
      <c r="A21">
        <v>1</v>
      </c>
      <c r="B21">
        <v>9</v>
      </c>
      <c r="C21">
        <v>0.74522292993630501</v>
      </c>
      <c r="D21">
        <v>744055</v>
      </c>
    </row>
    <row r="22" spans="1:4" x14ac:dyDescent="0.2">
      <c r="A22">
        <v>2</v>
      </c>
      <c r="B22">
        <v>0</v>
      </c>
      <c r="C22">
        <v>0.844444444444444</v>
      </c>
      <c r="D22">
        <v>605925</v>
      </c>
    </row>
    <row r="23" spans="1:4" x14ac:dyDescent="0.2">
      <c r="A23">
        <v>2</v>
      </c>
      <c r="B23">
        <v>1</v>
      </c>
      <c r="C23">
        <v>0.83974358974358898</v>
      </c>
      <c r="D23">
        <v>658438.06000000006</v>
      </c>
    </row>
    <row r="24" spans="1:4" x14ac:dyDescent="0.2">
      <c r="A24">
        <v>2</v>
      </c>
      <c r="B24">
        <v>2</v>
      </c>
      <c r="C24">
        <v>0.82282282282282204</v>
      </c>
      <c r="D24">
        <v>667867.5</v>
      </c>
    </row>
    <row r="25" spans="1:4" x14ac:dyDescent="0.2">
      <c r="A25">
        <v>2</v>
      </c>
      <c r="B25">
        <v>3</v>
      </c>
      <c r="C25">
        <v>0.82352941176470495</v>
      </c>
      <c r="D25">
        <v>651794.56000000006</v>
      </c>
    </row>
    <row r="26" spans="1:4" x14ac:dyDescent="0.2">
      <c r="A26">
        <v>2</v>
      </c>
      <c r="B26">
        <v>4</v>
      </c>
      <c r="C26">
        <v>0.77540106951871601</v>
      </c>
      <c r="D26">
        <v>686051.94</v>
      </c>
    </row>
    <row r="27" spans="1:4" x14ac:dyDescent="0.2">
      <c r="A27">
        <v>2</v>
      </c>
      <c r="B27">
        <v>5</v>
      </c>
      <c r="C27">
        <v>0.79050279329608897</v>
      </c>
      <c r="D27">
        <v>662246.19999999995</v>
      </c>
    </row>
    <row r="28" spans="1:4" x14ac:dyDescent="0.2">
      <c r="A28">
        <v>2</v>
      </c>
      <c r="B28">
        <v>6</v>
      </c>
      <c r="C28">
        <v>0.90784982935153502</v>
      </c>
      <c r="D28">
        <v>699580.25</v>
      </c>
    </row>
    <row r="29" spans="1:4" x14ac:dyDescent="0.2">
      <c r="A29">
        <v>2</v>
      </c>
      <c r="B29">
        <v>7</v>
      </c>
      <c r="C29">
        <v>0.82108626198083001</v>
      </c>
      <c r="D29">
        <v>645264</v>
      </c>
    </row>
    <row r="30" spans="1:4" x14ac:dyDescent="0.2">
      <c r="A30">
        <v>2</v>
      </c>
      <c r="B30">
        <v>8</v>
      </c>
      <c r="C30">
        <v>0.79629629629629595</v>
      </c>
      <c r="D30">
        <v>633844.25</v>
      </c>
    </row>
    <row r="31" spans="1:4" x14ac:dyDescent="0.2">
      <c r="A31">
        <v>2</v>
      </c>
      <c r="B31">
        <v>9</v>
      </c>
      <c r="C31">
        <v>0.81791044776119404</v>
      </c>
      <c r="D31">
        <v>624602.25</v>
      </c>
    </row>
    <row r="32" spans="1:4" x14ac:dyDescent="0.2">
      <c r="A32">
        <v>3</v>
      </c>
      <c r="B32">
        <v>0</v>
      </c>
      <c r="C32">
        <v>0.80952380952380898</v>
      </c>
      <c r="D32">
        <v>651945.56000000006</v>
      </c>
    </row>
    <row r="33" spans="1:4" x14ac:dyDescent="0.2">
      <c r="A33">
        <v>3</v>
      </c>
      <c r="B33">
        <v>1</v>
      </c>
      <c r="C33">
        <v>0.77884615384615297</v>
      </c>
      <c r="D33">
        <v>670058.5</v>
      </c>
    </row>
    <row r="34" spans="1:4" x14ac:dyDescent="0.2">
      <c r="A34">
        <v>3</v>
      </c>
      <c r="B34">
        <v>2</v>
      </c>
      <c r="C34">
        <v>0.82282282282282204</v>
      </c>
      <c r="D34">
        <v>659369.06000000006</v>
      </c>
    </row>
    <row r="35" spans="1:4" x14ac:dyDescent="0.2">
      <c r="A35">
        <v>3</v>
      </c>
      <c r="B35">
        <v>3</v>
      </c>
      <c r="C35">
        <v>0.77399380804953499</v>
      </c>
      <c r="D35">
        <v>690901.8</v>
      </c>
    </row>
    <row r="36" spans="1:4" x14ac:dyDescent="0.2">
      <c r="A36">
        <v>3</v>
      </c>
      <c r="B36">
        <v>4</v>
      </c>
      <c r="C36">
        <v>0.77540106951871601</v>
      </c>
      <c r="D36">
        <v>618357.30000000005</v>
      </c>
    </row>
    <row r="37" spans="1:4" x14ac:dyDescent="0.2">
      <c r="A37">
        <v>3</v>
      </c>
      <c r="B37">
        <v>5</v>
      </c>
      <c r="C37">
        <v>0.77932960893854697</v>
      </c>
      <c r="D37">
        <v>656670</v>
      </c>
    </row>
    <row r="38" spans="1:4" x14ac:dyDescent="0.2">
      <c r="A38">
        <v>3</v>
      </c>
      <c r="B38">
        <v>6</v>
      </c>
      <c r="C38">
        <v>0.860068259385665</v>
      </c>
      <c r="D38">
        <v>691659.3</v>
      </c>
    </row>
    <row r="39" spans="1:4" x14ac:dyDescent="0.2">
      <c r="A39">
        <v>3</v>
      </c>
      <c r="B39">
        <v>7</v>
      </c>
      <c r="C39">
        <v>0.78913738019169299</v>
      </c>
      <c r="D39">
        <v>678027.5</v>
      </c>
    </row>
    <row r="40" spans="1:4" x14ac:dyDescent="0.2">
      <c r="A40">
        <v>3</v>
      </c>
      <c r="B40">
        <v>8</v>
      </c>
      <c r="C40">
        <v>0.76851851851851805</v>
      </c>
      <c r="D40">
        <v>626500.6</v>
      </c>
    </row>
    <row r="41" spans="1:4" x14ac:dyDescent="0.2">
      <c r="A41">
        <v>3</v>
      </c>
      <c r="B41">
        <v>9</v>
      </c>
      <c r="C41">
        <v>0.76716417910447698</v>
      </c>
      <c r="D41">
        <v>635936.69999999995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2026-06-23T02:13:43Z</dcterms:created>
  <dcterms:modified xsi:type="dcterms:W3CDTF">2026-06-23T02:52:20Z</dcterms:modified>
</cp:coreProperties>
</file>