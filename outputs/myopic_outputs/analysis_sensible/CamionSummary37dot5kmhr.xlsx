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analysis_sensible/"/>
    </mc:Choice>
  </mc:AlternateContent>
  <xr:revisionPtr revIDLastSave="0" documentId="13_ncr:1_{DF0D8B15-FDC9-224A-9726-7F4F0B0F5CF8}" xr6:coauthVersionLast="47" xr6:coauthVersionMax="47" xr10:uidLastSave="{00000000-0000-0000-0000-000000000000}"/>
  <bookViews>
    <workbookView xWindow="6520" yWindow="3040" windowWidth="28040" windowHeight="17440" xr2:uid="{00000000-000D-0000-FFFF-FFFF00000000}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J6" i="1"/>
  <c r="J4" i="1"/>
  <c r="J5" i="1"/>
  <c r="K6" i="1"/>
  <c r="K5" i="1"/>
  <c r="I6" i="1"/>
  <c r="L6" i="1"/>
  <c r="L4" i="1"/>
  <c r="L5" i="1"/>
  <c r="I5" i="1"/>
  <c r="I4" i="1"/>
  <c r="H6" i="1"/>
  <c r="H5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<sst xmlns="http://schemas.openxmlformats.org/spreadsheetml/2006/main" count="14" uniqueCount="13">
  <si>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</si>
  <si>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</si>
  <si>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</si>
  <si>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</si>
  <si>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</si>
  <si>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</si>
  <si>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</si>
  <si>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</si>
  <si>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</si>
  <si>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</si>
  <si>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</si>
  <si>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</si>
  <si>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37.5 km/hr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</si>
</sst>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H15" sqref="H1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0.67213114754098302</v>
      </c>
      <c r="D2">
        <v>586781.4</v>
      </c>
      <c r="H2" t="s">
        <v>12</v>
      </c>
    </row>
    <row r="3" spans="1:12" x14ac:dyDescent="0.2">
      <c r="A3">
        <v>0</v>
      </c>
      <c r="B3">
        <v>1</v>
      </c>
      <c r="C3">
        <v>0.70860927152317799</v>
      </c>
      <c r="D3">
        <v>600254.5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0.61473087818696803</v>
      </c>
      <c r="D4">
        <v>585316.9</v>
      </c>
      <c r="G4" t="s">
        <v>9</v>
      </c>
      <c r="H4" s="1">
        <f>MIN($C$2:$C$11)</f>
        <v>0.58640226628895098</v>
      </c>
      <c r="I4" s="1">
        <f>MIN($C$12:$C$21)</f>
        <v>0.53160919540229801</v>
      </c>
      <c r="J4" s="1">
        <f>MIN($C$22:$C$31)</f>
        <v>0.68209876543209802</v>
      </c>
      <c r="K4" s="1">
        <f>MIN($C$32:$C$41)</f>
        <v>0.64973262032085499</v>
      </c>
      <c r="L4" s="2">
        <f>MIN(C:C)</f>
        <v>0.53160919540229801</v>
      </c>
    </row>
    <row r="5" spans="1:12" x14ac:dyDescent="0.2">
      <c r="A5">
        <v>0</v>
      </c>
      <c r="B5">
        <v>3</v>
      </c>
      <c r="C5">
        <v>0.58771929824561397</v>
      </c>
      <c r="D5">
        <v>584066.06000000006</v>
      </c>
      <c r="G5" t="s">
        <v>10</v>
      </c>
      <c r="H5" s="1">
        <f>AVERAGE($C$2:$C$11)</f>
        <v>0.65525260423970089</v>
      </c>
      <c r="I5" s="1">
        <f>AVERAGE($C$12:$C$21)</f>
        <v>0.58718596155287517</v>
      </c>
      <c r="J5" s="1">
        <f>AVERAGE($C$22:$C$31)</f>
        <v>0.71667759114994811</v>
      </c>
      <c r="K5" s="1">
        <f>AVERAGE($C$32:$C$41)</f>
        <v>0.6864603337434555</v>
      </c>
      <c r="L5" s="2">
        <f>AVERAGE(C:C)</f>
        <v>0.66139412267149478</v>
      </c>
    </row>
    <row r="6" spans="1:12" x14ac:dyDescent="0.2">
      <c r="A6">
        <v>0</v>
      </c>
      <c r="B6">
        <v>4</v>
      </c>
      <c r="C6">
        <v>0.61224489795918302</v>
      </c>
      <c r="D6">
        <v>594993.9</v>
      </c>
      <c r="G6" t="s">
        <v>11</v>
      </c>
      <c r="H6" s="1">
        <f>MAX($C$2:$C$11)</f>
        <v>0.75257731958762797</v>
      </c>
      <c r="I6" s="1">
        <f>MAX($C$12:$C$21)</f>
        <v>0.64649681528662395</v>
      </c>
      <c r="J6" s="1">
        <f>MAX($C$22:$C$31)</f>
        <v>0.80887372013651804</v>
      </c>
      <c r="K6" s="1">
        <f>MAX($C$32:$C$41)</f>
        <v>0.75085324232081896</v>
      </c>
      <c r="L6" s="2">
        <f>MAX(C:C)</f>
        <v>0.80887372013651804</v>
      </c>
    </row>
    <row r="7" spans="1:12" x14ac:dyDescent="0.2">
      <c r="A7">
        <v>0</v>
      </c>
      <c r="B7">
        <v>5</v>
      </c>
      <c r="C7">
        <v>0.663430420711974</v>
      </c>
      <c r="D7">
        <v>590556.1</v>
      </c>
    </row>
    <row r="8" spans="1:12" x14ac:dyDescent="0.2">
      <c r="A8">
        <v>0</v>
      </c>
      <c r="B8">
        <v>6</v>
      </c>
      <c r="C8">
        <v>0.68379446640316199</v>
      </c>
      <c r="D8">
        <v>617967.4</v>
      </c>
    </row>
    <row r="9" spans="1:12" x14ac:dyDescent="0.2">
      <c r="A9">
        <v>0</v>
      </c>
      <c r="B9">
        <v>7</v>
      </c>
      <c r="C9">
        <v>0.58640226628895098</v>
      </c>
      <c r="D9">
        <v>580853.56000000006</v>
      </c>
    </row>
    <row r="10" spans="1:12" x14ac:dyDescent="0.2">
      <c r="A10">
        <v>0</v>
      </c>
      <c r="B10">
        <v>8</v>
      </c>
      <c r="C10">
        <v>0.75257731958762797</v>
      </c>
      <c r="D10">
        <v>558734.5</v>
      </c>
    </row>
    <row r="11" spans="1:12" x14ac:dyDescent="0.2">
      <c r="A11">
        <v>0</v>
      </c>
      <c r="B11">
        <v>9</v>
      </c>
      <c r="C11">
        <v>0.670886075949367</v>
      </c>
      <c r="D11">
        <v>600720</v>
      </c>
    </row>
    <row r="12" spans="1:12" x14ac:dyDescent="0.2">
      <c r="A12">
        <v>1</v>
      </c>
      <c r="B12">
        <v>0</v>
      </c>
      <c r="C12">
        <v>0.628571428571428</v>
      </c>
      <c r="D12">
        <v>605741.56000000006</v>
      </c>
    </row>
    <row r="13" spans="1:12" x14ac:dyDescent="0.2">
      <c r="A13">
        <v>1</v>
      </c>
      <c r="B13">
        <v>1</v>
      </c>
      <c r="C13">
        <v>0.61980830670926501</v>
      </c>
      <c r="D13">
        <v>564691.30000000005</v>
      </c>
    </row>
    <row r="14" spans="1:12" x14ac:dyDescent="0.2">
      <c r="A14">
        <v>1</v>
      </c>
      <c r="B14">
        <v>2</v>
      </c>
      <c r="C14">
        <v>0.57300275482093599</v>
      </c>
      <c r="D14">
        <v>616200.9</v>
      </c>
    </row>
    <row r="15" spans="1:12" x14ac:dyDescent="0.2">
      <c r="A15">
        <v>1</v>
      </c>
      <c r="B15">
        <v>3</v>
      </c>
      <c r="C15">
        <v>0.53160919540229801</v>
      </c>
      <c r="D15">
        <v>602525.1</v>
      </c>
    </row>
    <row r="16" spans="1:12" x14ac:dyDescent="0.2">
      <c r="A16">
        <v>1</v>
      </c>
      <c r="B16">
        <v>4</v>
      </c>
      <c r="C16">
        <v>0.585798816568047</v>
      </c>
      <c r="D16">
        <v>589544.80000000005</v>
      </c>
    </row>
    <row r="17" spans="1:4" x14ac:dyDescent="0.2">
      <c r="A17">
        <v>1</v>
      </c>
      <c r="B17">
        <v>5</v>
      </c>
      <c r="C17">
        <v>0.56363636363636305</v>
      </c>
      <c r="D17">
        <v>607813.5</v>
      </c>
    </row>
    <row r="18" spans="1:4" x14ac:dyDescent="0.2">
      <c r="A18">
        <v>1</v>
      </c>
      <c r="B18">
        <v>6</v>
      </c>
      <c r="C18">
        <v>0.60830860534124598</v>
      </c>
      <c r="D18">
        <v>574052.25</v>
      </c>
    </row>
    <row r="19" spans="1:4" x14ac:dyDescent="0.2">
      <c r="A19">
        <v>1</v>
      </c>
      <c r="B19">
        <v>7</v>
      </c>
      <c r="C19">
        <v>0.56571428571428495</v>
      </c>
      <c r="D19">
        <v>587704.25</v>
      </c>
    </row>
    <row r="20" spans="1:4" x14ac:dyDescent="0.2">
      <c r="A20">
        <v>1</v>
      </c>
      <c r="B20">
        <v>8</v>
      </c>
      <c r="C20">
        <v>0.54891304347825998</v>
      </c>
      <c r="D20">
        <v>618914.6</v>
      </c>
    </row>
    <row r="21" spans="1:4" x14ac:dyDescent="0.2">
      <c r="A21">
        <v>1</v>
      </c>
      <c r="B21">
        <v>9</v>
      </c>
      <c r="C21">
        <v>0.64649681528662395</v>
      </c>
      <c r="D21">
        <v>555437.75</v>
      </c>
    </row>
    <row r="22" spans="1:4" x14ac:dyDescent="0.2">
      <c r="A22">
        <v>2</v>
      </c>
      <c r="B22">
        <v>0</v>
      </c>
      <c r="C22">
        <v>0.69841269841269804</v>
      </c>
      <c r="D22">
        <v>540741.56000000006</v>
      </c>
    </row>
    <row r="23" spans="1:4" x14ac:dyDescent="0.2">
      <c r="A23">
        <v>2</v>
      </c>
      <c r="B23">
        <v>1</v>
      </c>
      <c r="C23">
        <v>0.71794871794871795</v>
      </c>
      <c r="D23">
        <v>520158.3</v>
      </c>
    </row>
    <row r="24" spans="1:4" x14ac:dyDescent="0.2">
      <c r="A24">
        <v>2</v>
      </c>
      <c r="B24">
        <v>2</v>
      </c>
      <c r="C24">
        <v>0.73873873873873797</v>
      </c>
      <c r="D24">
        <v>531829.25</v>
      </c>
    </row>
    <row r="25" spans="1:4" x14ac:dyDescent="0.2">
      <c r="A25">
        <v>2</v>
      </c>
      <c r="B25">
        <v>3</v>
      </c>
      <c r="C25">
        <v>0.70278637770897801</v>
      </c>
      <c r="D25">
        <v>545251.06000000006</v>
      </c>
    </row>
    <row r="26" spans="1:4" x14ac:dyDescent="0.2">
      <c r="A26">
        <v>2</v>
      </c>
      <c r="B26">
        <v>4</v>
      </c>
      <c r="C26">
        <v>0.68983957219251302</v>
      </c>
      <c r="D26">
        <v>536606.75</v>
      </c>
    </row>
    <row r="27" spans="1:4" x14ac:dyDescent="0.2">
      <c r="A27">
        <v>2</v>
      </c>
      <c r="B27">
        <v>5</v>
      </c>
      <c r="C27">
        <v>0.70391061452513903</v>
      </c>
      <c r="D27">
        <v>529897.4</v>
      </c>
    </row>
    <row r="28" spans="1:4" x14ac:dyDescent="0.2">
      <c r="A28">
        <v>2</v>
      </c>
      <c r="B28">
        <v>6</v>
      </c>
      <c r="C28">
        <v>0.80887372013651804</v>
      </c>
      <c r="D28">
        <v>534056.25</v>
      </c>
    </row>
    <row r="29" spans="1:4" x14ac:dyDescent="0.2">
      <c r="A29">
        <v>2</v>
      </c>
      <c r="B29">
        <v>7</v>
      </c>
      <c r="C29">
        <v>0.73162939297124596</v>
      </c>
      <c r="D29">
        <v>528799.56000000006</v>
      </c>
    </row>
    <row r="30" spans="1:4" x14ac:dyDescent="0.2">
      <c r="A30">
        <v>2</v>
      </c>
      <c r="B30">
        <v>8</v>
      </c>
      <c r="C30">
        <v>0.68209876543209802</v>
      </c>
      <c r="D30">
        <v>532775.6</v>
      </c>
    </row>
    <row r="31" spans="1:4" x14ac:dyDescent="0.2">
      <c r="A31">
        <v>2</v>
      </c>
      <c r="B31">
        <v>9</v>
      </c>
      <c r="C31">
        <v>0.69253731343283498</v>
      </c>
      <c r="D31">
        <v>549922.6</v>
      </c>
    </row>
    <row r="32" spans="1:4" x14ac:dyDescent="0.2">
      <c r="A32">
        <v>3</v>
      </c>
      <c r="B32">
        <v>0</v>
      </c>
      <c r="C32">
        <v>0.71111111111111103</v>
      </c>
      <c r="D32">
        <v>538703.06000000006</v>
      </c>
    </row>
    <row r="33" spans="1:4" x14ac:dyDescent="0.2">
      <c r="A33">
        <v>3</v>
      </c>
      <c r="B33">
        <v>1</v>
      </c>
      <c r="C33">
        <v>0.66346153846153799</v>
      </c>
      <c r="D33">
        <v>544556.93999999994</v>
      </c>
    </row>
    <row r="34" spans="1:4" x14ac:dyDescent="0.2">
      <c r="A34">
        <v>3</v>
      </c>
      <c r="B34">
        <v>2</v>
      </c>
      <c r="C34">
        <v>0.66666666666666596</v>
      </c>
      <c r="D34">
        <v>552802.93999999994</v>
      </c>
    </row>
    <row r="35" spans="1:4" x14ac:dyDescent="0.2">
      <c r="A35">
        <v>3</v>
      </c>
      <c r="B35">
        <v>3</v>
      </c>
      <c r="C35">
        <v>0.67492260061919496</v>
      </c>
      <c r="D35">
        <v>566200.4</v>
      </c>
    </row>
    <row r="36" spans="1:4" x14ac:dyDescent="0.2">
      <c r="A36">
        <v>3</v>
      </c>
      <c r="B36">
        <v>4</v>
      </c>
      <c r="C36">
        <v>0.64973262032085499</v>
      </c>
      <c r="D36">
        <v>541204.19999999995</v>
      </c>
    </row>
    <row r="37" spans="1:4" x14ac:dyDescent="0.2">
      <c r="A37">
        <v>3</v>
      </c>
      <c r="B37">
        <v>5</v>
      </c>
      <c r="C37">
        <v>0.66201117318435698</v>
      </c>
      <c r="D37">
        <v>540150.56000000006</v>
      </c>
    </row>
    <row r="38" spans="1:4" x14ac:dyDescent="0.2">
      <c r="A38">
        <v>3</v>
      </c>
      <c r="B38">
        <v>6</v>
      </c>
      <c r="C38">
        <v>0.75085324232081896</v>
      </c>
      <c r="D38">
        <v>569016.25</v>
      </c>
    </row>
    <row r="39" spans="1:4" x14ac:dyDescent="0.2">
      <c r="A39">
        <v>3</v>
      </c>
      <c r="B39">
        <v>7</v>
      </c>
      <c r="C39">
        <v>0.69648562300319405</v>
      </c>
      <c r="D39">
        <v>549457.75</v>
      </c>
    </row>
    <row r="40" spans="1:4" x14ac:dyDescent="0.2">
      <c r="A40">
        <v>3</v>
      </c>
      <c r="B40">
        <v>8</v>
      </c>
      <c r="C40">
        <v>0.67592592592592504</v>
      </c>
      <c r="D40">
        <v>524301.43999999994</v>
      </c>
    </row>
    <row r="41" spans="1:4" x14ac:dyDescent="0.2">
      <c r="A41">
        <v>3</v>
      </c>
      <c r="B41">
        <v>9</v>
      </c>
      <c r="C41">
        <v>0.71343283582089501</v>
      </c>
      <c r="D41">
        <v>513929.06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2026-06-23T02:13:43Z</dcterms:created>
  <dcterms:modified xsi:type="dcterms:W3CDTF">2026-06-23T02:55:27Z</dcterms:modified>
</cp:coreProperties>
</file>