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c2_1_pkups1_dlvrs_sanalysis/"/>
    </mc:Choice>
  </mc:AlternateContent>
  <xr:revisionPtr revIDLastSave="0" documentId="13_ncr:40009_{EBCBE9E5-2542-9048-9ABB-59201B74B030}" xr6:coauthVersionLast="47" xr6:coauthVersionMax="47" xr10:uidLastSave="{00000000-0000-0000-0000-000000000000}"/>
  <bookViews>
    <workbookView xWindow="3260" yWindow="2140" windowWidth="28040" windowHeight="17440"/>
  </bookViews>
  <sheets>
    <sheet name="2camiones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</calcChain>
</file>

<file path=xl/sharedStrings.xml><?xml version="1.0" encoding="utf-8"?>
<sst xmlns="http://schemas.openxmlformats.org/spreadsheetml/2006/main" count="13" uniqueCount="12">
  <si>
    <t>Instancia</t>
  </si>
  <si>
    <t>replica</t>
  </si>
  <si>
    <t>U_relativa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</si>
  <si>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</si>
  <si>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</si>
  <si>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</si>
  <si>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</si>
  <si>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</si>
  <si>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</si>
  <si>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</si>
  <si>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</si>
  <si>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1 deliveries, 1 pickups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</si>
</sst>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I14" sqref="I14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>
        <v>0</v>
      </c>
      <c r="B2">
        <v>0</v>
      </c>
      <c r="C2">
        <v>0.35737704918032698</v>
      </c>
      <c r="G2" t="s">
        <v>11</v>
      </c>
    </row>
    <row r="3" spans="1:11" x14ac:dyDescent="0.2">
      <c r="A3">
        <v>0</v>
      </c>
      <c r="B3">
        <v>1</v>
      </c>
      <c r="C3">
        <v>0.37748344370860898</v>
      </c>
      <c r="F3" t="s">
        <v>0</v>
      </c>
      <c r="G3" t="s">
        <v>3</v>
      </c>
      <c r="H3" t="s">
        <v>4</v>
      </c>
      <c r="I3" t="s">
        <v>5</v>
      </c>
      <c r="J3" t="s">
        <v>6</v>
      </c>
      <c r="K3" t="s">
        <v>7</v>
      </c>
    </row>
    <row r="4" spans="1:11" x14ac:dyDescent="0.2">
      <c r="A4">
        <v>0</v>
      </c>
      <c r="B4">
        <v>2</v>
      </c>
      <c r="C4">
        <v>0.314447592067988</v>
      </c>
      <c r="F4" t="s">
        <v>8</v>
      </c>
      <c r="G4" s="1">
        <f>MIN($C$2:$C$11)</f>
        <v>0.29824561403508698</v>
      </c>
      <c r="H4" s="1">
        <f>MIN($C$12:$C$21)</f>
        <v>0.27596439169139397</v>
      </c>
      <c r="I4" s="1">
        <f>MIN($C$22:$C$31)</f>
        <v>0.34636871508379802</v>
      </c>
      <c r="J4" s="1">
        <f>MIN($C$32:$C$41)</f>
        <v>0.32371794871794801</v>
      </c>
      <c r="K4" s="2">
        <f>MIN($C:$C)</f>
        <v>0.27596439169139397</v>
      </c>
    </row>
    <row r="5" spans="1:11" x14ac:dyDescent="0.2">
      <c r="A5">
        <v>0</v>
      </c>
      <c r="B5">
        <v>3</v>
      </c>
      <c r="C5">
        <v>0.29824561403508698</v>
      </c>
      <c r="F5" t="s">
        <v>9</v>
      </c>
      <c r="G5" s="1">
        <f>AVERAGE($C$2:$C$11)</f>
        <v>0.33718166680399247</v>
      </c>
      <c r="H5" s="1">
        <f>AVERAGE($C$12:$C$21)</f>
        <v>0.29118200327595345</v>
      </c>
      <c r="I5" s="1">
        <f>AVERAGE($C$22:$C$31)</f>
        <v>0.37319776793641235</v>
      </c>
      <c r="J5" s="1">
        <f>AVERAGE($C$32:$C$41)</f>
        <v>0.35139226197504891</v>
      </c>
      <c r="K5" s="2">
        <f>AVERAGE($C:$C)</f>
        <v>0.33823842499785178</v>
      </c>
    </row>
    <row r="6" spans="1:11" x14ac:dyDescent="0.2">
      <c r="A6">
        <v>0</v>
      </c>
      <c r="B6">
        <v>4</v>
      </c>
      <c r="C6">
        <v>0.31632653061224397</v>
      </c>
      <c r="F6" t="s">
        <v>10</v>
      </c>
      <c r="G6" s="1">
        <f>MAX($C$2:$C$11)</f>
        <v>0.37748344370860898</v>
      </c>
      <c r="H6" s="1">
        <f>MAX($C$12:$C$21)</f>
        <v>0.321656050955414</v>
      </c>
      <c r="I6" s="1">
        <f>MAX($C$22:$C$31)</f>
        <v>0.41296928327644999</v>
      </c>
      <c r="J6" s="1">
        <f>MAX($C$32:$C$41)</f>
        <v>0.38730158730158698</v>
      </c>
      <c r="K6" s="2">
        <f>MAX($C:$C)</f>
        <v>0.41296928327644999</v>
      </c>
    </row>
    <row r="7" spans="1:11" x14ac:dyDescent="0.2">
      <c r="A7">
        <v>0</v>
      </c>
      <c r="B7">
        <v>5</v>
      </c>
      <c r="C7">
        <v>0.32362459546925498</v>
      </c>
    </row>
    <row r="8" spans="1:11" x14ac:dyDescent="0.2">
      <c r="A8">
        <v>0</v>
      </c>
      <c r="B8">
        <v>6</v>
      </c>
      <c r="C8">
        <v>0.375494071146245</v>
      </c>
    </row>
    <row r="9" spans="1:11" x14ac:dyDescent="0.2">
      <c r="A9">
        <v>0</v>
      </c>
      <c r="B9">
        <v>7</v>
      </c>
      <c r="C9">
        <v>0.30594900849858297</v>
      </c>
    </row>
    <row r="10" spans="1:11" x14ac:dyDescent="0.2">
      <c r="A10">
        <v>0</v>
      </c>
      <c r="B10">
        <v>8</v>
      </c>
      <c r="C10">
        <v>0.36426116838487899</v>
      </c>
    </row>
    <row r="11" spans="1:11" x14ac:dyDescent="0.2">
      <c r="A11">
        <v>0</v>
      </c>
      <c r="B11">
        <v>9</v>
      </c>
      <c r="C11">
        <v>0.338607594936708</v>
      </c>
    </row>
    <row r="12" spans="1:11" x14ac:dyDescent="0.2">
      <c r="A12">
        <v>1</v>
      </c>
      <c r="B12">
        <v>0</v>
      </c>
      <c r="C12">
        <v>0.314285714285714</v>
      </c>
    </row>
    <row r="13" spans="1:11" x14ac:dyDescent="0.2">
      <c r="A13">
        <v>1</v>
      </c>
      <c r="B13">
        <v>1</v>
      </c>
      <c r="C13">
        <v>0.306709265175718</v>
      </c>
    </row>
    <row r="14" spans="1:11" x14ac:dyDescent="0.2">
      <c r="A14">
        <v>1</v>
      </c>
      <c r="B14">
        <v>2</v>
      </c>
      <c r="C14">
        <v>0.28650137741046799</v>
      </c>
    </row>
    <row r="15" spans="1:11" x14ac:dyDescent="0.2">
      <c r="A15">
        <v>1</v>
      </c>
      <c r="B15">
        <v>3</v>
      </c>
      <c r="C15">
        <v>0.284482758620689</v>
      </c>
    </row>
    <row r="16" spans="1:11" x14ac:dyDescent="0.2">
      <c r="A16">
        <v>1</v>
      </c>
      <c r="B16">
        <v>4</v>
      </c>
      <c r="C16">
        <v>0.27810650887573901</v>
      </c>
    </row>
    <row r="17" spans="1:3" x14ac:dyDescent="0.2">
      <c r="A17">
        <v>1</v>
      </c>
      <c r="B17">
        <v>5</v>
      </c>
      <c r="C17">
        <v>0.27878787878787797</v>
      </c>
    </row>
    <row r="18" spans="1:3" x14ac:dyDescent="0.2">
      <c r="A18">
        <v>1</v>
      </c>
      <c r="B18">
        <v>6</v>
      </c>
      <c r="C18">
        <v>0.27596439169139397</v>
      </c>
    </row>
    <row r="19" spans="1:3" x14ac:dyDescent="0.2">
      <c r="A19">
        <v>1</v>
      </c>
      <c r="B19">
        <v>7</v>
      </c>
      <c r="C19">
        <v>0.28000000000000003</v>
      </c>
    </row>
    <row r="20" spans="1:3" x14ac:dyDescent="0.2">
      <c r="A20">
        <v>1</v>
      </c>
      <c r="B20">
        <v>8</v>
      </c>
      <c r="C20">
        <v>0.28532608695652101</v>
      </c>
    </row>
    <row r="21" spans="1:3" x14ac:dyDescent="0.2">
      <c r="A21">
        <v>1</v>
      </c>
      <c r="B21">
        <v>9</v>
      </c>
      <c r="C21">
        <v>0.321656050955414</v>
      </c>
    </row>
    <row r="22" spans="1:3" x14ac:dyDescent="0.2">
      <c r="A22">
        <v>2</v>
      </c>
      <c r="B22">
        <v>0</v>
      </c>
      <c r="C22">
        <v>0.38412698412698398</v>
      </c>
    </row>
    <row r="23" spans="1:3" x14ac:dyDescent="0.2">
      <c r="A23">
        <v>2</v>
      </c>
      <c r="B23">
        <v>1</v>
      </c>
      <c r="C23">
        <v>0.375</v>
      </c>
    </row>
    <row r="24" spans="1:3" x14ac:dyDescent="0.2">
      <c r="A24">
        <v>2</v>
      </c>
      <c r="B24">
        <v>2</v>
      </c>
      <c r="C24">
        <v>0.363363363363363</v>
      </c>
    </row>
    <row r="25" spans="1:3" x14ac:dyDescent="0.2">
      <c r="A25">
        <v>2</v>
      </c>
      <c r="B25">
        <v>3</v>
      </c>
      <c r="C25">
        <v>0.359133126934984</v>
      </c>
    </row>
    <row r="26" spans="1:3" x14ac:dyDescent="0.2">
      <c r="A26">
        <v>2</v>
      </c>
      <c r="B26">
        <v>4</v>
      </c>
      <c r="C26">
        <v>0.36631016042780701</v>
      </c>
    </row>
    <row r="27" spans="1:3" x14ac:dyDescent="0.2">
      <c r="A27">
        <v>2</v>
      </c>
      <c r="B27">
        <v>5</v>
      </c>
      <c r="C27">
        <v>0.34636871508379802</v>
      </c>
    </row>
    <row r="28" spans="1:3" x14ac:dyDescent="0.2">
      <c r="A28">
        <v>2</v>
      </c>
      <c r="B28">
        <v>6</v>
      </c>
      <c r="C28">
        <v>0.41296928327644999</v>
      </c>
    </row>
    <row r="29" spans="1:3" x14ac:dyDescent="0.2">
      <c r="A29">
        <v>2</v>
      </c>
      <c r="B29">
        <v>7</v>
      </c>
      <c r="C29">
        <v>0.35782747603833798</v>
      </c>
    </row>
    <row r="30" spans="1:3" x14ac:dyDescent="0.2">
      <c r="A30">
        <v>2</v>
      </c>
      <c r="B30">
        <v>8</v>
      </c>
      <c r="C30">
        <v>0.35493827160493802</v>
      </c>
    </row>
    <row r="31" spans="1:3" x14ac:dyDescent="0.2">
      <c r="A31">
        <v>2</v>
      </c>
      <c r="B31">
        <v>9</v>
      </c>
      <c r="C31">
        <v>0.411940298507462</v>
      </c>
    </row>
    <row r="32" spans="1:3" x14ac:dyDescent="0.2">
      <c r="A32">
        <v>3</v>
      </c>
      <c r="B32">
        <v>0</v>
      </c>
      <c r="C32">
        <v>0.38730158730158698</v>
      </c>
    </row>
    <row r="33" spans="1:3" x14ac:dyDescent="0.2">
      <c r="A33">
        <v>3</v>
      </c>
      <c r="B33">
        <v>1</v>
      </c>
      <c r="C33">
        <v>0.32371794871794801</v>
      </c>
    </row>
    <row r="34" spans="1:3" x14ac:dyDescent="0.2">
      <c r="A34">
        <v>3</v>
      </c>
      <c r="B34">
        <v>2</v>
      </c>
      <c r="C34">
        <v>0.33633633633633597</v>
      </c>
    </row>
    <row r="35" spans="1:3" x14ac:dyDescent="0.2">
      <c r="A35">
        <v>3</v>
      </c>
      <c r="B35">
        <v>3</v>
      </c>
      <c r="C35">
        <v>0.33126934984520101</v>
      </c>
    </row>
    <row r="36" spans="1:3" x14ac:dyDescent="0.2">
      <c r="A36">
        <v>3</v>
      </c>
      <c r="B36">
        <v>4</v>
      </c>
      <c r="C36">
        <v>0.36096256684491901</v>
      </c>
    </row>
    <row r="37" spans="1:3" x14ac:dyDescent="0.2">
      <c r="A37">
        <v>3</v>
      </c>
      <c r="B37">
        <v>5</v>
      </c>
      <c r="C37">
        <v>0.34357541899441302</v>
      </c>
    </row>
    <row r="38" spans="1:3" x14ac:dyDescent="0.2">
      <c r="A38">
        <v>3</v>
      </c>
      <c r="B38">
        <v>6</v>
      </c>
      <c r="C38">
        <v>0.37542662116040898</v>
      </c>
    </row>
    <row r="39" spans="1:3" x14ac:dyDescent="0.2">
      <c r="A39">
        <v>3</v>
      </c>
      <c r="B39">
        <v>7</v>
      </c>
      <c r="C39">
        <v>0.35463258785942398</v>
      </c>
    </row>
    <row r="40" spans="1:3" x14ac:dyDescent="0.2">
      <c r="A40">
        <v>3</v>
      </c>
      <c r="B40">
        <v>8</v>
      </c>
      <c r="C40">
        <v>0.33950617283950602</v>
      </c>
    </row>
    <row r="41" spans="1:3" x14ac:dyDescent="0.2">
      <c r="A41">
        <v>3</v>
      </c>
      <c r="B41">
        <v>9</v>
      </c>
      <c r="C41">
        <v>0.361194029850746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2camionesCamionSummary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2026-06-27T18:42:22Z</dcterms:created>
  <dcterms:modified xsi:type="dcterms:W3CDTF">2026-06-27T18:43:03Z</dcterms:modified>
</cp:coreProperties>
</file>