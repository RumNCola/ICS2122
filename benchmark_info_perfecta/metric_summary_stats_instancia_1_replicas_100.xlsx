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f\Desktop\"/>
    </mc:Choice>
  </mc:AlternateContent>
  <xr:revisionPtr revIDLastSave="0" documentId="13_ncr:9_{C5121F5E-A902-40AF-870D-224C936F7251}" xr6:coauthVersionLast="47" xr6:coauthVersionMax="47" xr10:uidLastSave="{00000000-0000-0000-0000-000000000000}"/>
  <bookViews>
    <workbookView xWindow="-120" yWindow="-120" windowWidth="29040" windowHeight="15720" xr2:uid="{99CBED2D-8256-419C-BD0D-CFA737BF1DDC}"/>
  </bookViews>
  <sheets>
    <sheet name="metric_summary_stats_instancia_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<sst xmlns="http://schemas.openxmlformats.org/spreadsheetml/2006/main" count="22" uniqueCount="22">
  <si>
    <t>metric</t>
  </si>
  <si>
    <t>n</t>
  </si>
  <si>
    <t>mean</t>
  </si>
  <si>
    <t>std</t>
  </si>
  <si>
    <t>standard_error</t>
  </si>
  <si>
    <t>confidence_level</t>
  </si>
  <si>
    <t>z_value</t>
  </si>
  <si>
    <t>ci_lower</t>
  </si>
  <si>
    <t>ci_upper</t>
  </si>
  <si>
    <t>served_customers</t>
  </si>
  <si>
    <t>unserved_customers</t>
  </si>
  <si>
    <t>service_rate</t>
  </si>
  <si>
    <t>total_profit</t>
  </si>
  <si>
    <t>total_possible_profit</t>
  </si>
  <si>
    <t>profit_rate</t>
  </si>
  <si>
    <t>total_distance_km</t>
  </si>
  <si>
    <t>total_travel_time_sec</t>
  </si>
  <si>
    <t>nb_tours</t>
  </si>
  <si>
    <t>avg_customers_per_tour</t>
  </si>
  <si>
    <t>avg_tour_duration_sec</t>
  </si>
  <si>
    <t>avg_tour_duration_min</t>
  </si>
  <si>
    <t>avg_tour_duration_hours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</si>
</sst>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  <xf numFmtId="0" fontId="0" fillId="34" borderId="0" xfId="0" applyFill="1"/>
    <xf numFmtId="2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1456-7234-41B4-B7CD-F4C57CA50D1B}">
  <dimension ref="A1:M14"/>
  <sheetViews>
    <sheetView tabSelected="1" zoomScale="130" zoomScaleNormal="130" workbookViewId="0">
      <selection activeCell="C12" sqref="C12:D12"/>
    </sheetView>
  </sheetViews>
  <sheetFormatPr baseColWidth="10" defaultRowHeight="15" x14ac:dyDescent="0.25"/>
  <cols>
    <col min="1" max="1" width="23.140625" bestFit="1" customWidth="1"/>
    <col min="3" max="4" width="21" bestFit="1" customWidth="1"/>
    <col min="5" max="5" width="21.85546875" bestFit="1" customWidth="1"/>
    <col min="7" max="7" width="7.42578125" bestFit="1" customWidth="1"/>
    <col min="8" max="9" width="12.5703125" customWidth="1"/>
    <col min="10" max="10" width="15.5703125" customWidth="1"/>
    <col min="11" max="13" width="2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 t="s">
        <v>9</v>
      </c>
      <c r="B2">
        <v>100</v>
      </c>
      <c r="C2" s="2">
        <v>136.77000000000001</v>
      </c>
      <c r="D2" s="2">
        <v>0.60949639751671902</v>
      </c>
      <c r="E2" s="2">
        <v>0.60949639751671902</v>
      </c>
      <c r="F2" s="2">
        <v>0.95</v>
      </c>
      <c r="G2" s="2">
        <v>1.96</v>
      </c>
      <c r="H2" s="2">
        <f>$C2-$G2*$D2/SQRT($B2)</f>
        <v>136.65053870608673</v>
      </c>
      <c r="I2" s="2">
        <f>$C2+$G2*$D2/SQRT($B2)</f>
        <v>136.88946129391329</v>
      </c>
      <c r="K2" s="1"/>
      <c r="L2" s="1"/>
      <c r="M2" s="1"/>
    </row>
    <row r="3" spans="1:13" x14ac:dyDescent="0.25">
      <c r="A3" t="s">
        <v>10</v>
      </c>
      <c r="B3">
        <v>100</v>
      </c>
      <c r="C3" s="2">
        <v>62.88</v>
      </c>
      <c r="D3" s="2">
        <v>9.9242382604663906</v>
      </c>
      <c r="E3" s="2">
        <v>0.99242382604663903</v>
      </c>
      <c r="F3" s="2">
        <v>0.95</v>
      </c>
      <c r="G3" s="2">
        <v>1.96</v>
      </c>
      <c r="H3" s="2">
        <f>$C3-$G3*$D3/SQRT($B3)</f>
        <v>60.934849300948592</v>
      </c>
      <c r="I3" s="2">
        <f t="shared" ref="I3:I14" si="0">$C3+$G3*$D3/SQRT($B3)</f>
        <v>64.82515069905142</v>
      </c>
      <c r="K3" s="1"/>
      <c r="L3" s="1"/>
      <c r="M3" s="1"/>
    </row>
    <row r="4" spans="1:13" x14ac:dyDescent="0.25">
      <c r="A4" t="s">
        <v>11</v>
      </c>
      <c r="B4">
        <v>100</v>
      </c>
      <c r="C4" s="2">
        <v>0.68661845505184604</v>
      </c>
      <c r="D4" s="2">
        <v>3.1528975290021702E-2</v>
      </c>
      <c r="E4" s="2">
        <v>3.1528975290021702E-3</v>
      </c>
      <c r="F4" s="2">
        <v>0.95</v>
      </c>
      <c r="G4" s="2">
        <v>1.96</v>
      </c>
      <c r="H4" s="2">
        <f t="shared" ref="H3:H14" si="1">$C4-$G4*$D4/SQRT($B4)</f>
        <v>0.68043877589500179</v>
      </c>
      <c r="I4" s="2">
        <f t="shared" si="0"/>
        <v>0.6927981342086903</v>
      </c>
    </row>
    <row r="5" spans="1:13" x14ac:dyDescent="0.25">
      <c r="A5" t="s">
        <v>12</v>
      </c>
      <c r="B5">
        <v>100</v>
      </c>
      <c r="C5" s="2">
        <v>222.07</v>
      </c>
      <c r="D5" s="2">
        <v>10.001267596427599</v>
      </c>
      <c r="E5" s="2">
        <v>1.0001267596427601</v>
      </c>
      <c r="F5" s="2">
        <v>0.95</v>
      </c>
      <c r="G5" s="2">
        <v>1.96</v>
      </c>
      <c r="H5" s="2">
        <f t="shared" si="1"/>
        <v>220.10975155110017</v>
      </c>
      <c r="I5" s="2">
        <f t="shared" si="0"/>
        <v>224.03024844889981</v>
      </c>
      <c r="K5" s="1"/>
      <c r="L5" s="1"/>
      <c r="M5" s="1"/>
    </row>
    <row r="6" spans="1:13" x14ac:dyDescent="0.25">
      <c r="A6" t="s">
        <v>13</v>
      </c>
      <c r="B6">
        <v>100</v>
      </c>
      <c r="C6" s="2">
        <v>323.62</v>
      </c>
      <c r="D6" s="2">
        <v>2.3078600871409298</v>
      </c>
      <c r="E6" s="2">
        <v>2.3078600871409298</v>
      </c>
      <c r="F6" s="2">
        <v>0.95</v>
      </c>
      <c r="G6" s="2">
        <v>1.96</v>
      </c>
      <c r="H6" s="2">
        <f t="shared" si="1"/>
        <v>323.16765942292039</v>
      </c>
      <c r="I6" s="2">
        <f t="shared" si="0"/>
        <v>324.07234057707961</v>
      </c>
      <c r="K6" s="1"/>
      <c r="L6" s="1"/>
      <c r="M6" s="1"/>
    </row>
    <row r="7" spans="1:13" x14ac:dyDescent="0.25">
      <c r="A7" t="s">
        <v>14</v>
      </c>
      <c r="B7">
        <v>100</v>
      </c>
      <c r="C7" s="2">
        <v>0.68792283450598302</v>
      </c>
      <c r="D7" s="2">
        <v>3.0797497624318E-2</v>
      </c>
      <c r="E7" s="2">
        <v>3.0797497624318001E-3</v>
      </c>
      <c r="F7" s="2">
        <v>0.95</v>
      </c>
      <c r="G7" s="2">
        <v>1.96</v>
      </c>
      <c r="H7" s="2">
        <f t="shared" si="1"/>
        <v>0.68188652497161673</v>
      </c>
      <c r="I7" s="2">
        <f t="shared" si="0"/>
        <v>0.69395914404034931</v>
      </c>
    </row>
    <row r="8" spans="1:13" x14ac:dyDescent="0.25">
      <c r="A8" t="s">
        <v>15</v>
      </c>
      <c r="B8">
        <v>100</v>
      </c>
      <c r="C8" s="2">
        <v>381.68364890020001</v>
      </c>
      <c r="D8" s="2">
        <v>14.444488439145999</v>
      </c>
      <c r="E8" s="2">
        <v>1.4444488439145999</v>
      </c>
      <c r="F8" s="2">
        <v>0.95</v>
      </c>
      <c r="G8" s="2">
        <v>1.96</v>
      </c>
      <c r="H8" s="2">
        <f t="shared" si="1"/>
        <v>378.8525291661274</v>
      </c>
      <c r="I8" s="2">
        <f t="shared" si="0"/>
        <v>384.51476863427263</v>
      </c>
      <c r="K8" s="1"/>
      <c r="L8" s="1"/>
      <c r="M8" s="1"/>
    </row>
    <row r="9" spans="1:13" x14ac:dyDescent="0.25">
      <c r="A9" t="s">
        <v>16</v>
      </c>
      <c r="B9">
        <v>100</v>
      </c>
      <c r="C9" s="2">
        <v>55036.59</v>
      </c>
      <c r="D9" s="2">
        <v>207.95624350115301</v>
      </c>
      <c r="E9" s="2">
        <v>207.95624350115301</v>
      </c>
      <c r="F9" s="2">
        <v>0.95</v>
      </c>
      <c r="G9" s="2">
        <v>1.96</v>
      </c>
      <c r="H9" s="2">
        <f t="shared" si="1"/>
        <v>54995.830576273773</v>
      </c>
      <c r="I9" s="2">
        <f t="shared" si="0"/>
        <v>55077.34942372622</v>
      </c>
      <c r="K9" s="1"/>
      <c r="L9" s="1"/>
      <c r="M9" s="1"/>
    </row>
    <row r="10" spans="1:13" x14ac:dyDescent="0.25">
      <c r="A10" s="3" t="s">
        <v>17</v>
      </c>
      <c r="B10" s="3">
        <v>100</v>
      </c>
      <c r="C10" s="4">
        <v>11.92</v>
      </c>
      <c r="D10" s="4">
        <v>0.97109747349599396</v>
      </c>
      <c r="E10" s="4">
        <v>9.7109747349599401E-2</v>
      </c>
      <c r="F10" s="4">
        <v>0.95</v>
      </c>
      <c r="G10" s="4">
        <v>1.96</v>
      </c>
      <c r="H10" s="4">
        <f t="shared" si="1"/>
        <v>11.729664895194786</v>
      </c>
      <c r="I10" s="4">
        <f t="shared" si="0"/>
        <v>12.110335104805214</v>
      </c>
      <c r="K10" s="1"/>
      <c r="L10" s="1"/>
    </row>
    <row r="11" spans="1:13" x14ac:dyDescent="0.25">
      <c r="A11" s="5" t="s">
        <v>18</v>
      </c>
      <c r="B11" s="5">
        <v>100</v>
      </c>
      <c r="C11" s="6">
        <v>11.5530706515706</v>
      </c>
      <c r="D11" s="6">
        <v>1.10791324164964</v>
      </c>
      <c r="E11" s="6">
        <v>0.110791324164964</v>
      </c>
      <c r="F11" s="6">
        <v>0.95</v>
      </c>
      <c r="G11" s="6">
        <v>1.96</v>
      </c>
      <c r="H11" s="6">
        <f t="shared" si="1"/>
        <v>11.33591965620727</v>
      </c>
      <c r="I11" s="6">
        <f t="shared" si="0"/>
        <v>11.77022164693393</v>
      </c>
      <c r="K11" s="1"/>
      <c r="L11" s="1"/>
    </row>
    <row r="12" spans="1:13" x14ac:dyDescent="0.25">
      <c r="A12" s="3" t="s">
        <v>19</v>
      </c>
      <c r="B12" s="3">
        <v>100</v>
      </c>
      <c r="C12" s="4">
        <v>6744.9705604950605</v>
      </c>
      <c r="D12" s="4">
        <v>493.44626308270102</v>
      </c>
      <c r="E12" s="4">
        <v>49.344626308270101</v>
      </c>
      <c r="F12" s="4">
        <v>0.95</v>
      </c>
      <c r="G12" s="4">
        <v>1.96</v>
      </c>
      <c r="H12" s="4">
        <f t="shared" si="1"/>
        <v>6648.2550929308509</v>
      </c>
      <c r="I12" s="4">
        <f t="shared" si="0"/>
        <v>6841.68602805927</v>
      </c>
      <c r="K12" s="1"/>
      <c r="L12" s="1"/>
      <c r="M12" s="1"/>
    </row>
    <row r="13" spans="1:13" x14ac:dyDescent="0.25">
      <c r="A13" s="3" t="s">
        <v>20</v>
      </c>
      <c r="B13" s="3">
        <v>100</v>
      </c>
      <c r="C13" s="4">
        <v>112.416176008251</v>
      </c>
      <c r="D13" s="4">
        <v>8.2241043847116799</v>
      </c>
      <c r="E13" s="4">
        <v>0.82241043847116801</v>
      </c>
      <c r="F13" s="4">
        <v>0.95</v>
      </c>
      <c r="G13" s="4">
        <v>1.96</v>
      </c>
      <c r="H13" s="4">
        <f t="shared" si="1"/>
        <v>110.80425154884752</v>
      </c>
      <c r="I13" s="4">
        <f t="shared" si="0"/>
        <v>114.02810046765448</v>
      </c>
      <c r="K13" s="1"/>
      <c r="L13" s="1"/>
      <c r="M13" s="1"/>
    </row>
    <row r="14" spans="1:13" x14ac:dyDescent="0.25">
      <c r="A14" s="3" t="s">
        <v>21</v>
      </c>
      <c r="B14" s="3">
        <v>100</v>
      </c>
      <c r="C14" s="4">
        <v>1.8736029334708499</v>
      </c>
      <c r="D14" s="4">
        <v>0.13706840641186099</v>
      </c>
      <c r="E14" s="4">
        <v>1.37068406411861E-2</v>
      </c>
      <c r="F14" s="4">
        <v>0.95</v>
      </c>
      <c r="G14" s="4">
        <v>1.96</v>
      </c>
      <c r="H14" s="4">
        <f t="shared" si="1"/>
        <v>1.8467375258141252</v>
      </c>
      <c r="I14" s="4">
        <f t="shared" si="0"/>
        <v>1.9004683411275747</v>
      </c>
      <c r="K14" s="1"/>
      <c r="L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metric_summary_stats_instancia_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Martín Jara García</cp:lastModifiedBy>
  <dcterms:created xsi:type="dcterms:W3CDTF">2026-06-16T02:08:19Z</dcterms:created>
  <dcterms:modified xsi:type="dcterms:W3CDTF">2026-06-16T02:32:44Z</dcterms:modified>
</cp:coreProperties>
</file>